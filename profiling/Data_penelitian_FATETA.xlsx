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7942681-12BC-4B7D-8FCF-D72227A1E1EF}" xr6:coauthVersionLast="47" xr6:coauthVersionMax="47" xr10:uidLastSave="{00000000-0000-0000-0000-000000000000}"/>
  <bookViews>
    <workbookView xWindow="-110" yWindow="-110" windowWidth="25820" windowHeight="13900" activeTab="3" xr2:uid="{B65ACEA7-0DD2-48A8-9D60-FCE85CAD693A}"/>
  </bookViews>
  <sheets>
    <sheet name="TIN" sheetId="1" r:id="rId1"/>
    <sheet name="SIL" sheetId="2" r:id="rId2"/>
    <sheet name="ITP" sheetId="3" r:id="rId3"/>
    <sheet name="TM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27" i="3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126" i="3"/>
  <c r="L20" i="3"/>
  <c r="K20" i="3"/>
  <c r="L19" i="3"/>
  <c r="N19" i="3" s="1"/>
  <c r="K19" i="3"/>
  <c r="L18" i="3"/>
  <c r="K18" i="3"/>
  <c r="L17" i="3"/>
  <c r="L21" i="3" s="1"/>
  <c r="K17" i="3"/>
  <c r="L16" i="3"/>
  <c r="K16" i="3"/>
  <c r="K21" i="3" s="1"/>
  <c r="L13" i="3"/>
  <c r="P12" i="3"/>
  <c r="O12" i="3"/>
  <c r="O6" i="3" s="1"/>
  <c r="O9" i="3" s="1"/>
  <c r="N12" i="3"/>
  <c r="N6" i="3" s="1"/>
  <c r="M12" i="3"/>
  <c r="M6" i="3" s="1"/>
  <c r="M9" i="3" s="1"/>
  <c r="L12" i="3"/>
  <c r="P11" i="3"/>
  <c r="P6" i="3" s="1"/>
  <c r="P9" i="3" s="1"/>
  <c r="O11" i="3"/>
  <c r="N11" i="3"/>
  <c r="M11" i="3"/>
  <c r="L11" i="3"/>
  <c r="L6" i="3" s="1"/>
  <c r="L9" i="3" s="1"/>
  <c r="P8" i="3"/>
  <c r="O8" i="3"/>
  <c r="Q8" i="3" s="1"/>
  <c r="N8" i="3"/>
  <c r="M8" i="3"/>
  <c r="L8" i="3"/>
  <c r="P7" i="3"/>
  <c r="O7" i="3"/>
  <c r="N7" i="3"/>
  <c r="Q7" i="3" s="1"/>
  <c r="R7" i="3" s="1"/>
  <c r="M7" i="3"/>
  <c r="L7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I13" i="1"/>
  <c r="N9" i="3" l="1"/>
  <c r="Q9" i="3" s="1"/>
  <c r="Q6" i="3"/>
  <c r="R6" i="3" s="1"/>
  <c r="A226" i="3"/>
  <c r="A227" i="3" s="1"/>
  <c r="A228" i="3" s="1"/>
  <c r="A229" i="3" s="1"/>
  <c r="A230" i="3" s="1"/>
  <c r="A231" i="3" s="1"/>
  <c r="A232" i="3" s="1"/>
  <c r="A221" i="3"/>
  <c r="A222" i="3" s="1"/>
  <c r="A223" i="3" s="1"/>
  <c r="A224" i="3" s="1"/>
  <c r="A225" i="3" s="1"/>
</calcChain>
</file>

<file path=xl/sharedStrings.xml><?xml version="1.0" encoding="utf-8"?>
<sst xmlns="http://schemas.openxmlformats.org/spreadsheetml/2006/main" count="2579" uniqueCount="1131">
  <si>
    <t>Tabel 3.b.2) Penelitian DTPS (S1/S2/S3)</t>
  </si>
  <si>
    <t>&lt;&lt;&lt; Daftar Tabel</t>
  </si>
  <si>
    <t>No.</t>
  </si>
  <si>
    <t>Judul Penelitian</t>
  </si>
  <si>
    <t>Ketua Tim Peneliti</t>
  </si>
  <si>
    <t>Tahun</t>
  </si>
  <si>
    <t>Dana Penelitian (Rp Juta)</t>
  </si>
  <si>
    <t>Sumber Pembiayaan (PT/Mandiri/Luar PT DN/Luar PT LN)</t>
  </si>
  <si>
    <t>Jumlah Mahasiswa yang Terlibat</t>
  </si>
  <si>
    <t>Nama Mahasiswa</t>
  </si>
  <si>
    <t>Kesesuaian dengan Peta Jalan (Sesuai/Tidak Sesuai)</t>
  </si>
  <si>
    <t>1</t>
  </si>
  <si>
    <t>Desain Proses Nanoenkapsulasi Senyawa Bioaktif Kemenyan Asal Sumatera Utara dengan Nanokristal Pati Sebagai Antibakteri dan Antioksidan</t>
  </si>
  <si>
    <r>
      <rPr>
        <sz val="10"/>
        <color theme="1"/>
        <rFont val="Calibri"/>
        <family val="2"/>
      </rPr>
      <t>Titi Candra Sunarti</t>
    </r>
    <r>
      <rPr>
        <sz val="10"/>
        <color theme="1"/>
        <rFont val="Calibri"/>
        <family val="2"/>
      </rPr>
      <t>, Khaswar Syamsu</t>
    </r>
  </si>
  <si>
    <t>2022-2024</t>
  </si>
  <si>
    <t>Luar PT DN</t>
  </si>
  <si>
    <t>Ridwansyah</t>
  </si>
  <si>
    <t>Sesuai</t>
  </si>
  <si>
    <t>S3</t>
  </si>
  <si>
    <t>2</t>
  </si>
  <si>
    <t>OPTIMALISASI PEMANFAATAN BATANG SAGU MELALUI PROSES KERING UNTUK BIOFUEL DAN ANTIOKSIDAN</t>
  </si>
  <si>
    <t>Erliza Noor</t>
  </si>
  <si>
    <t>2022-2023</t>
  </si>
  <si>
    <t>Abdurachman</t>
  </si>
  <si>
    <t>3</t>
  </si>
  <si>
    <t>PEMANFAATAN LIGNOSELULOSA TANDAN KOSONG KELAPA SAWIT UNTUK APLIKASI PUPUK LAJU LEPAS LAMBAT (SLOW RELEASE FERTILIZER)</t>
  </si>
  <si>
    <r>
      <rPr>
        <sz val="10"/>
        <color theme="1"/>
        <rFont val="Calibri"/>
        <family val="2"/>
      </rPr>
      <t>Farah Fahma</t>
    </r>
    <r>
      <rPr>
        <sz val="10"/>
        <color theme="1"/>
        <rFont val="Calibri"/>
        <family val="2"/>
      </rPr>
      <t>, Khaswar Syamsu, Abdul Munif</t>
    </r>
  </si>
  <si>
    <t>2023-2025</t>
  </si>
  <si>
    <t>Ika Atsari Dewi</t>
  </si>
  <si>
    <t>S2</t>
  </si>
  <si>
    <t>4</t>
  </si>
  <si>
    <t>Pemodelan Enterprise Resource Planning Autentikasi Kehalalan Berbasis IoT untuk Daging Sapi Beku pada Manufacturing Shop Floor Control di Kawasan Industri Halal</t>
  </si>
  <si>
    <r>
      <rPr>
        <sz val="10"/>
        <color theme="1"/>
        <rFont val="Calibri"/>
        <family val="2"/>
      </rPr>
      <t>Yandra</t>
    </r>
    <r>
      <rPr>
        <sz val="10"/>
        <color theme="1"/>
        <rFont val="Calibri"/>
        <family val="2"/>
      </rPr>
      <t>, Taufik Djatna, Khaswar Syamsu</t>
    </r>
  </si>
  <si>
    <t xml:space="preserve">Verry Surya Hendrawan	</t>
  </si>
  <si>
    <t>5</t>
  </si>
  <si>
    <t>PUPUK UREA SLOW RELEASE BERBASIS KOMPOSIT NANOSELULOSA DENGAN POLIMER BIODEGRADABLE</t>
  </si>
  <si>
    <r>
      <rPr>
        <sz val="10"/>
        <color theme="1"/>
        <rFont val="Calibri"/>
        <family val="2"/>
      </rPr>
      <t>Farah Fahma</t>
    </r>
    <r>
      <rPr>
        <sz val="10"/>
        <color theme="1"/>
        <rFont val="Calibri"/>
        <family val="2"/>
      </rPr>
      <t>, Khaswar Syamsu</t>
    </r>
  </si>
  <si>
    <t>Afrinal Firmanda</t>
  </si>
  <si>
    <t>6</t>
  </si>
  <si>
    <t>Rekayasa Kemasan Aktif Dan Halokromik Cerdas Berbasis Nano Seng Oksida (Nzno) – Polianilin (Pani)</t>
  </si>
  <si>
    <t>Endang Warsiki</t>
  </si>
  <si>
    <t>Aufa Nisrina Fadhila</t>
  </si>
  <si>
    <t>7</t>
  </si>
  <si>
    <t>Pengembangan Sumber Daya manusia Unggul Pada Agroindustri Gula Tebu (Kasus Kawasan Timur Indonesia)</t>
  </si>
  <si>
    <r>
      <rPr>
        <sz val="10"/>
        <color theme="1"/>
        <rFont val="Calibri"/>
        <family val="2"/>
      </rPr>
      <t>Illah Sailah</t>
    </r>
    <r>
      <rPr>
        <sz val="10"/>
        <color theme="1"/>
        <rFont val="Calibri"/>
        <family val="2"/>
      </rPr>
      <t>, Marimin, Muhammad Romli, Alex Denni</t>
    </r>
  </si>
  <si>
    <t>Mursiti</t>
  </si>
  <si>
    <t>8</t>
  </si>
  <si>
    <t>Strategi Penguatan Kinerja Inovasi Teknologi Agroindustri di Masa Perubahan</t>
  </si>
  <si>
    <r>
      <rPr>
        <sz val="10"/>
        <color theme="1"/>
        <rFont val="Calibri"/>
        <family val="2"/>
      </rPr>
      <t>Machfud</t>
    </r>
    <r>
      <rPr>
        <sz val="10"/>
        <color theme="1"/>
        <rFont val="Calibri"/>
        <family val="2"/>
      </rPr>
      <t>, Elisa Anggraeni</t>
    </r>
  </si>
  <si>
    <t>Kirana Rukmayuninda Ririh</t>
  </si>
  <si>
    <t>9</t>
  </si>
  <si>
    <t>Uji Aplikasi Produksi Kopi Luwak Enzimatis Pada Industri Skala Menengah</t>
  </si>
  <si>
    <t>10</t>
  </si>
  <si>
    <t>Desain ERP Berbasis IOT (PT. Sukaraja Pangan Utama)</t>
  </si>
  <si>
    <t>Taufik</t>
  </si>
  <si>
    <t>Ibnu Hanifa, Laurencia Septina Siahaan, Faiz Ismail Zulfi, Muhammad Sa'duddin, Aldo Shafa Pratama</t>
  </si>
  <si>
    <t>S1</t>
  </si>
  <si>
    <t>https://cdn.ipb.ac.id/kerjasama/file_kerjasama_8be23b039aca43f1b8287a170442de06.pdf</t>
  </si>
  <si>
    <t>11</t>
  </si>
  <si>
    <t>Desain Proses untuk Peningkatan rendeman Chitosan (CV Biochitosan Indonesia)</t>
  </si>
  <si>
    <t>Ika Amalia Kartika</t>
  </si>
  <si>
    <t>Karisma Putri Pratama, Muhammad Rasyid Ramadhan,  Rizka Rahmah</t>
  </si>
  <si>
    <t>https://cdn.ipb.ac.id/kerjasama/file_kerjasama_15edf2b1e0da45efb3dc2f6e978483cd.pdf</t>
  </si>
  <si>
    <t>12</t>
  </si>
  <si>
    <t>Peningkatan Skala dan Kualitas Minyak di Koperasi Srikandi</t>
  </si>
  <si>
    <t>Sapta Raharja</t>
  </si>
  <si>
    <t>Asyila Amelia Zahwa, Punny Benedekta Purba, Muhammad Firdaus Ramadhan</t>
  </si>
  <si>
    <t>https://cdn.ipb.ac.id/kerjasama/file_kerjasama_e5d4e472d3df4190941efe3bd75b36a9.pdf</t>
  </si>
  <si>
    <t>13</t>
  </si>
  <si>
    <t>Prof. Dr. Endang Warsiki, S.T.P., M.Si.~NIP(197103051997022001)~NIDN(0005037105)~IDScopus(57190938204)~IDSinta(36695)~IDOrchid(0000-0002-1635-7296)~IDScholar(f5wt2CkAAAAJ&amp;hl)</t>
  </si>
  <si>
    <t>29.700.000</t>
  </si>
  <si>
    <t>Aufa Nisrina Fadhila (F3501211004)</t>
  </si>
  <si>
    <t>14</t>
  </si>
  <si>
    <t>Evaluasi Potensi Ekstrak Daun Afrika (Vernonia amygdala DEL) sebagai sumber Anti-oksidan dan 
 Anti-inflamasi: Kajian in silico dan in vitro</t>
  </si>
  <si>
    <t>Prof. Dr. Ir. Illah Sailah, M.S.~NIP(195805211982112001)~NIDN(0021055810)~IDScopus(57207302968)~IDSinta(6157394)~IDOrchid(0000-0001-5021-4048)~IDScholar(5c64DUQAAAAJ)</t>
  </si>
  <si>
    <t>2023 - 2024</t>
  </si>
  <si>
    <t>47.000.000</t>
  </si>
  <si>
    <t>Yulianida Tamala (F3501231009); Linda Safitri (F3501231010)</t>
  </si>
  <si>
    <t>15</t>
  </si>
  <si>
    <t>Riset dan Pengembangan Teknologi Blockchain pada Proses Bisnis Delivery Order Online</t>
  </si>
  <si>
    <t>Prof. Dr. Ir. Kudang Boro Seminar, M.Sc.~NIP(195911181985031004)~NIDN(0018115912)~IDScopus(54897890200)~IDSinta(6039515)~IDOrchid(0000000186401646)~IDScholar(2RgyhGsAAAAJ&amp;hl); Prof. Dr. Taufik, S.T.P., M.Si.~NIP(197006141995121001)~NIDN(0014067002)~IDScopus(55014499000)~IDSinta(257700)~IDOrchid(0000-0002-2071-089X)~IDScholar(UTKYFlIAAAAJ); Dr. Bagus Sartono, S.Si., M.Si.~NIP(197804112005011002)~NIDN(0011047806)~IDScopus(54382487700)~IDSinta(54382487700)~IDOrchid()~IDScholar(Yc1l77YAAAAJ); Prof. Dr. Ir. Agus Buono, M.Si., M.Kom.~NIP(196607021993021001)~NIDN(0002076607)~IDScopus(36004649600)~IDSinta()~IDOrchid()~IDScholar(); Dr. Ir. Supriyanto, S.T.P., M.Kom., IPM ~NIP(198612072012121001)~NIDN(0407128601)~IDScopus(57190128799)~IDSinta(5973370)~IDOrchid()~IDScholar(CCtX8i0AAAAJ); Irman Hermadi, S.Kom., M.S., Ph.D.~NIP(197503112006041009)~NIDN(0011037506)~IDScopus(23967933100)~IDSinta()~IDOrchid()~IDScholar(); Dr. Shelvie Nidya Neyman, S.Kom., M.Si.~NIP(197702062005012002)~NIDN(0006027705)~IDScopus( 56204338600)~IDSinta( 5983675)~IDOrchid(0000-0002-0003-1953)~IDScholar(aqXAYbgAAAAJ); Prof. Dr. Ir. Marimin, M.Sc.~NIP(196109051986091001)~NIDN(0005096104)~IDScopus(7409682197)~IDSinta(5978271)~IDOrchid(0000-0002-9415-5008)~IDScholar(dDtbqMwAAAAJ); Prof. Dr. Ir. Hari Wijayanto, M.Si.~NIP(196504211990021001)~NIDN(0021046503)~IDScopus(36631233900)~IDSinta(6038606)~IDOrchid(0000-0002-7507-2602)~IDScholar(X83aAVMAAAAJ); Dr. Liyantono, S.T.P., M.Agr.~NIP(197809222005011003)~NIDN(0022097806)~IDScopus(54906200300)~IDSinta(5973284)~IDOrchid(0000-0002-7979-7141)~IDScholar(jYLLsOUAAAAJ); Dr. Hendra Rahmawan, S.Kom., M.T.~NIP(198205012009121004)~NIDN(0401058201)~IDScopus(35175046100)~IDSinta()~IDOrchid()~IDScholar(tz47q3kAAAAJ); Prof. Dr. Ir. Yandra, M.Eng.~NIP(196509141990021001)~NIDN(0014096507)~IDScopus(55946558300)~IDSinta(6042612)~IDOrchid(0000-0002-6183-6069)~IDScholar(LDf7YzkAAAAJ)</t>
  </si>
  <si>
    <t>3.108.702.000</t>
  </si>
  <si>
    <t>Irawan Afrianto (G661190031); Kursehi Falgenti (F361190221); Verry Surya Hendrawan (F3601211018); Hendri Wijaya (F3601222018); Irwansyah Saputra (G6601202021); Nizmah Jatisari Hidayah (F3601211019); Sari Intan Kailaku (F3601202014); Adhi Kusnadi (G6601201002); Aries Harry Pratama (F3501222025)</t>
  </si>
  <si>
    <t>S2/S3</t>
  </si>
  <si>
    <t>16</t>
  </si>
  <si>
    <t>PROSES FRAKSINASI KERING PADA PENGOLAHAN BATANG SAGU UNTUK BIOFUEL DAN ANTIOKSIDAN</t>
  </si>
  <si>
    <t>Prof. Dr. Ir. Tajuddin Bantacut, M.Sc.~NIP(195905031987031001)~NIDN(0003055907)~IDScopus(57188582609)~IDSinta(6201178)~IDOrchid(0000-0002-4930-2769)~IDScholar(3ipxV_kAAAAJ); Prof. Dr. Ir. Titi Candra Sunarti, M.Si.~NIP(196612191991032001)~NIDN(0019126610)~IDScopus(8636326000)~IDSinta(5988814)~IDOrchid(0000-0002-3227-9769)~IDScholar(ozwwVywAAAAJ); Prof. Dr. Ir. Erliza Noor~NIP(196002011987032002)~NIDN(0001026009)~IDScopus(55977772800)~IDSinta(5977017)~IDOrchid(-)~IDScholar(lCTbj9YAAAAJ)</t>
  </si>
  <si>
    <t>113.950.000</t>
  </si>
  <si>
    <t>Abdurachman (F3601211021)</t>
  </si>
  <si>
    <t>17</t>
  </si>
  <si>
    <t>Prof. Dr. Farah Fahma, S.T.P., M.T.~NIP(197705182005012001)~NIDN(0018057703)~IDScopus(36536701900)~IDSinta(5975691)~IDOrchid(0000-0003-3690-1217)~IDScholar(5ut1l4cAAAAJ); Prof. Dr. Ir. Khaswar Syamsu, M.Sc.St.~NIP(196308171988031003)~NIDN(0017086308)~IDScopus(6507451876)~IDSinta(5979110)~IDOrchid(0000-0002-5113-8830)~IDScholar(Rt2PiqwAAAAJ S); Prof. Dr. Ir. Abdul Munif, M.Sc.Agr.~NIP(196306091989031002)~NIDN(0009066308)~IDScopus(57189395304)~IDSinta(6032386)~IDOrchid(0000-0002-7313-9068)~IDScholar(gX4mBuUAAAAJ)</t>
  </si>
  <si>
    <t>2023 - 2025</t>
  </si>
  <si>
    <t>Ika Atsari Dewi (F3601211006)</t>
  </si>
  <si>
    <t>18</t>
  </si>
  <si>
    <t>Dr. Elisa Anggraeni, S.T.P., M.Sc.~NIP(197411261999032002)~NIDN(0026117402)~IDScopus(57195592356)~IDSinta(5991382)~IDOrchid(0000-0002-3018-4627)~IDScholar(8Z1PPZUAAAAJ); Prof. Dr. Ir. Machfud, M.S.~NIP(195103211978031003)~NIDN(0021035107 / 9900985820)~IDScopus(56034516700)~IDSinta(5992255)~IDOrchid()~IDScholar(tbqnLhIAAAJ)</t>
  </si>
  <si>
    <t>46.400.000</t>
  </si>
  <si>
    <t>Kirana Rukmayuninda Ririh (F3601211012)</t>
  </si>
  <si>
    <t>https://cdn.ipb.ac.id/sippm/DokPPM_6bb059b61f7547f88741b1be4ce16811.pdf</t>
  </si>
  <si>
    <t>19</t>
  </si>
  <si>
    <t>Rekayasa Proses Penurunan Kalsium Oksalat dari Umbi Porang (Amorphophallus muelleri Blume) Menggunakan Etanol dalam Kavitasi Hidrodinamik</t>
  </si>
  <si>
    <t>Prof. Dr. Ir. Illah Sailah, M.S.~NIP(195805211982112001)~NIDN(0021055810)~IDScopus(57207302968)~IDSinta(6157394)~IDOrchid(0000-0001-5021-4048)~IDScholar(5c64DUQAAAAJ); Dr. Prayoga Suryadarma, S.T.P., M.T.~NIP(197411101999031001)~NIDN(0010117406)~IDScopus(54879446100)~IDSinta(6042741)~IDOrchid(-)~IDScholar(Hjs3d7AAAAAJ); Prof. Dr. Ir. Titi Candra Sunarti, M.Si.~NIP(196612191991032001)~NIDN(0019126610)~IDScopus(8636326000)~IDSinta(5988814)~IDOrchid(0000-0002-3227-9769)~IDScholar(ozwwVywAAAAJ)</t>
  </si>
  <si>
    <t>Shavira Amalia Rahim (P0501222029)</t>
  </si>
  <si>
    <t>20</t>
  </si>
  <si>
    <t>Isolasi dan seleksi bakteri asimilasi xilosa dari buah stroberi (Fragraria sp.) untuk akumulasi xilitol</t>
  </si>
  <si>
    <t>Dr. Prayoga Suryadarma, S.T.P., M.T.~NIP(197411101999031001)~NIDN(0010117406)~IDScopus(54879446100)~IDSinta(6042741)~IDOrchid(-)~IDScholar(Hjs3d7AAAAAJ)</t>
  </si>
  <si>
    <t>44.500.000</t>
  </si>
  <si>
    <t>Atika Kusumastuti (P0501212037)</t>
  </si>
  <si>
    <t>21</t>
  </si>
  <si>
    <t>Uji Kemampuan Oil Spill Dispersant berbahan Minyak Sawit pada Proses Dispersi Minyak untuk Remediasi Lingkungan Perairan Tercemar Tumpahan Minyak Bumi</t>
  </si>
  <si>
    <t>Prof. Dr. Ir. Moh. Yani, M.Eng.~NIP(196308051990021001)~NIDN(0005086307)~IDScopus(6603321602)~IDSinta(5995336)~IDOrchid(0000-0003-2231-8143)~IDScholar(7LcoO5AAAAAJ)</t>
  </si>
  <si>
    <t>Aulia Sundari (P0502211052); Kurnia Yati (P0501211021)</t>
  </si>
  <si>
    <t>https://cdn.ipb.ac.id/sippm/DokPPM_6a5cfd02a6404321bfee5e73a6daddab.pdf</t>
  </si>
  <si>
    <t>22</t>
  </si>
  <si>
    <t>Pengujian Toksisitas Surfaktan Terhadap Tanaman Air</t>
  </si>
  <si>
    <t>Prof. Dr. Ir. Moh. Yani, M.Eng.~NIP(196308051990021001)~NIDN(0005086307)~IDScopus(6603321602)~IDSinta(5995336)~IDOrchid(0000-0003-2231-8143)~IDScholar(7LcoO5AAAAAJ); Prof. Dr. Ir. Anas Miftah Fauzi, M.Eng.~NIP(196004191985031002)~NIDN(0019046008)~IDScopus(55951561800)~IDSinta(5986082)~IDOrchid(-)~IDScholar(C-SWorgAAAAJ)</t>
  </si>
  <si>
    <t>Muhammad Ridho Fitrisyah (P0501211004)</t>
  </si>
  <si>
    <t>23</t>
  </si>
  <si>
    <t>Teknologi Maju Proses Pemanfaatan Limbah untuk Mendukung Mewujudkan Ekonomi Sirkular Berbasis Limbah Kelapa Sawit</t>
  </si>
  <si>
    <t>Prof. Dr. Ir. Nastiti Siswi Indrasti~NIP(196210091989032001)~NIDN(0009106213)~IDScopus(22234206800)~IDSinta(5981996)~IDOrchid(0000-0002-2898-4035)~IDScholar(PcWqLxkAAAAJ); Prof. Dr. Ir. Suprihatin~NIP(196312211990031002)~NIDN(0021126307)~IDScopus(56085767200)~IDSinta(5979874)~IDOrchid(0000-0001-9641-8820)~IDScholar(E8QatwQAAAAJ)</t>
  </si>
  <si>
    <t>995.253.975</t>
  </si>
  <si>
    <t>https://cdn.ipb.ac.id/sippm/DokPPM_a786dc2f5d7740969ccda264f4881390.pdf</t>
  </si>
  <si>
    <t>24</t>
  </si>
  <si>
    <t>Pengembangan Produk Rhodinol dari Minyak Sereh Wangi sebagai Bahan Baku Fragrance</t>
  </si>
  <si>
    <t>Dr. Ir. Meika Syahbana Rusli, M.Sc.Agr.~NIP(196205051989031027)~NIDN(0005056213)~IDScopus(57200723971)~IDSinta(5995296)~IDOrchid(-)~IDScholar(yXW9RwIAAAAJ); Dr. Prayoga Suryadarma, S.T.P., M.T.~NIP(197411101999031001)~NIDN(0010117406)~IDScopus(54879446100)~IDSinta(6042741)~IDOrchid(-)~IDScholar(Hjs3d7AAAAAJ); Dr. Dwi Setyaningsih, S.T.P., M.Si.~NIP(197001031994122001)~NIDN(0003017008)~IDScopus(6508356816)~IDSinta(5992391)~IDOrchid(-)~IDScholar(ukUaIpEAAAAJ)</t>
  </si>
  <si>
    <t>210.000.000</t>
  </si>
  <si>
    <t>BILQIS SYARIFAH (F3401201111); Arya Fatih Athallah (F3401201819); Bayu Anggoro Kasih (F3401201803)</t>
  </si>
  <si>
    <t>25</t>
  </si>
  <si>
    <t xml:space="preserve">Penguatan Manajemen Dan Bisnis Modern Rice Milling Plant Perum Bulog Kendal Analisis Pemasaran dan Distribusi, Efisiensi Proses dan Pengendalian Persediaan Bahan Baku
</t>
  </si>
  <si>
    <t>Tajuddin Bantacut, Muhammad Arif Darmawan, Sapta Raharja</t>
  </si>
  <si>
    <t>Mandiri</t>
  </si>
  <si>
    <t xml:space="preserve">Aurelia Frederica Laura
Gianluca Raihan Yogaswara
Aqsal Bayu Ardi
</t>
  </si>
  <si>
    <t>26</t>
  </si>
  <si>
    <t xml:space="preserve">Optimalisasi Proses Bisnis Dan Pengolahan Hasil Samping Pada Modern Rice Milling Plant Lampung - Bulog Lampung
</t>
  </si>
  <si>
    <t>Tajuddin Bantacut, Muhammad ROmli</t>
  </si>
  <si>
    <t xml:space="preserve">Khujaji
Muhammad Rafi Azzam Adilah
Qonitah Khairunnisyah
</t>
  </si>
  <si>
    <t>27</t>
  </si>
  <si>
    <t xml:space="preserve">Optimalisasi Manajemen Rantai Pasok Dalam Aspek Produksi dan Pemasaran di Modern Rice Milling Plant Perum Bulog Subang
</t>
  </si>
  <si>
    <t>Tajuddin Bantacut, Marimin, Machfud</t>
  </si>
  <si>
    <t xml:space="preserve">Satria Syaputra Harahap
Junita Irianti Simanjuntak
Muhammad Royyan
</t>
  </si>
  <si>
    <t>28</t>
  </si>
  <si>
    <t xml:space="preserve">Sistem Peningkatan Kinerja Service Level Pada Logistik dan Rantai Pasok Produk Keju di PT XYZ
</t>
  </si>
  <si>
    <t>Muhammad Arif Darmawan, Marimin, Sugiarto, Muhammad Romli</t>
  </si>
  <si>
    <t xml:space="preserve">Alyssa Az-Zahra Anggraeni Sukarno
Pirda Nurhasanah
Rahmawati Nurlaili
Rifa Safitri
Sindhy Octaviani Faradhilla
</t>
  </si>
  <si>
    <t>29</t>
  </si>
  <si>
    <t xml:space="preserve">Desain dan Implementasi ERP Untuk Meningkatkan Efisiensi Proses Bisnis Maklun Berbasis Odoo di PT Sukaraja Pangan Utama
</t>
  </si>
  <si>
    <t>Taufik, Muhammad Arif Darmawan</t>
  </si>
  <si>
    <t xml:space="preserve">Ibnu Hanifa
Laurencia Septina Siahaan
Faiz Ismail Zulfi
Muhammad Sa'duddin
Aldo Shafa Pratama
</t>
  </si>
  <si>
    <t>30</t>
  </si>
  <si>
    <t xml:space="preserve">Rancangan Produksi Ginger Letaher Candy di CV Sari Sehat
</t>
  </si>
  <si>
    <t>Hartrisari Hardjomidjojo, Purwoko, Niken Ayu Permatasari, Muhammad Arif Darmawan</t>
  </si>
  <si>
    <t xml:space="preserve">Tiangga Pratama
Yedija Nikita Valentine
Zahra Devinarahma
Diaswan Rafi Fauzan
Ryananda Azhar Muhammad
</t>
  </si>
  <si>
    <t>31</t>
  </si>
  <si>
    <t xml:space="preserve">Pengembangan Unit Produksi Mashed Potato Dan tepung Kentang Di kecamatan Modoinding Kabupaten Minahasa Selatan
</t>
  </si>
  <si>
    <t>Deasy Kartika Rahayu Kuncoro, Farah Fahma, Prayoga Suryadarma, Yandra</t>
  </si>
  <si>
    <t xml:space="preserve">Maulana Akhmad Syafi'i
Muslimah
Muhammad Fariz Akbar
Amrudin Ghofur
Irvan Maruli P. Kabeakan
</t>
  </si>
  <si>
    <t>32</t>
  </si>
  <si>
    <t xml:space="preserve">Perancangan Peningkatan Nilai Tambah Melalui Rekayasa Ulang Rantai Pasok Pada Aspek Pengolahan Pasca Panen Dan Pemasaran Di Rantai Pasok Kopi Kelompok Tani Amanat
</t>
  </si>
  <si>
    <t>Moh. Yani, Purwoko, Marimin, Endang Warsiki, Farah Fahma</t>
  </si>
  <si>
    <t xml:space="preserve">Avicenna Lukman Al Fajri
Reisyavitani Adelia Rahma
Sayyidah Atiqah
</t>
  </si>
  <si>
    <t>33</t>
  </si>
  <si>
    <t xml:space="preserve">Desain Model Bisnis dan Produk Berbasis Kulit Buah Kopi Di KTH Cibulao
</t>
  </si>
  <si>
    <t>Elisa Anggraeni, Muslich, Andes Ismayana, Niken Ayu Permatasari</t>
  </si>
  <si>
    <t xml:space="preserve">Dyni Amalia Safitri
Nakia Kayla Syahputri
Selvia Eka Putri
Rafael Handri Rabani
</t>
  </si>
  <si>
    <t>34</t>
  </si>
  <si>
    <t xml:space="preserve">Formulation of White Chocolate With The Addition of Various Components Assessing The Impact on The Properties of Solar Dried Banana Coating in Hillkoff Co., LTD
</t>
  </si>
  <si>
    <t>Endang Warsiki, Deasy Kartika Rahayu Kuncoro, Ono Suparno, Moh. Yani</t>
  </si>
  <si>
    <t xml:space="preserve">Ryan Rafael
Chairunnisah Putri Hanniyah
Naflah Khalisah Nasution
</t>
  </si>
  <si>
    <t>35</t>
  </si>
  <si>
    <t xml:space="preserve">Peningkatan Kinerja Industri Pet Functional Food DI PT Sutan Vet Medika
</t>
  </si>
  <si>
    <t>Illah Sailah, Hartrisari Hardjomidjojo</t>
  </si>
  <si>
    <t xml:space="preserve">Hasasti
Nikki Fauzi Nugroho
Ogi Har Rahman
</t>
  </si>
  <si>
    <t>36</t>
  </si>
  <si>
    <t xml:space="preserve">Pengembangan Desain Eco Industry Melalui Efisiensi Proses Produksi dan Pemanfaatan Limbah di Java Halu Coffee
</t>
  </si>
  <si>
    <t xml:space="preserve">Reza Ramadhani
Muhammad Hilmi Uwais Qarani
Febriani
</t>
  </si>
  <si>
    <t>37</t>
  </si>
  <si>
    <t xml:space="preserve">Perbaikan Proses Pembuatan Tepung Sorgum Untuk Meningkatkan Rendemen Produksi dan Penerapannya pada Berbagai Produk
</t>
  </si>
  <si>
    <t>Mulyorini Rahayuningsih, Khaswar Syamsu, Muslich</t>
  </si>
  <si>
    <t xml:space="preserve">Adriani Putri Parwati
Hedira Aisyah Hiksamdaning
Aditya Wardana
</t>
  </si>
  <si>
    <t>38</t>
  </si>
  <si>
    <t xml:space="preserve">Desain Produk Tepung Sweet Premix di PT Legitt Boga Mandiri
</t>
  </si>
  <si>
    <t>Titi Candra Sunarti, Yandra, Endang Warsiki, Deasy Kartika Rahayu Kuncoro</t>
  </si>
  <si>
    <t xml:space="preserve">Oktaviani Chrisna Nehe
Rizqi Ika Nugrayanti
Ilham Nurul Fauzan Firdaus
Muhammad Ariq Maulana Akbar
</t>
  </si>
  <si>
    <t>39</t>
  </si>
  <si>
    <t xml:space="preserve">Desain Proses Ekstraksi Komponen Bahan Aktif Kulit Kopi dan Potensinya Untuk Pembuatan Functional Drink Berantioksoidan Tinggi
</t>
  </si>
  <si>
    <t>Titi Candra Sunarti, Sapta Raharja, Faqih Udin, Khaswar Syamsu</t>
  </si>
  <si>
    <t xml:space="preserve">Andrio Pardamean Hasibuan
Rani Nisrina
Argama Bistok Immanuel Manurung
</t>
  </si>
  <si>
    <t>40</t>
  </si>
  <si>
    <t xml:space="preserve">Perbaikan Proses Produksi dan Strategi Pemasaran Mie Sagu di Pondok Sagu Metro
</t>
  </si>
  <si>
    <t>Titi Candra Sunarti, Muhammad Romli, Machfud, Sugiarto</t>
  </si>
  <si>
    <t xml:space="preserve">Muhammad Yusuf Raizal Ashari
M. Rifqi Kelvin Akbar
Febrian Satrio Wicaksono
</t>
  </si>
  <si>
    <t>41</t>
  </si>
  <si>
    <t xml:space="preserve">Perancangan Industri Telur Asin Rendah Kolesterol Di Cilincing - Jakarta Utara
</t>
  </si>
  <si>
    <t>Indah Yuliasih, Ika Amalia Kartika, Ono Suparno, Machfud</t>
  </si>
  <si>
    <t xml:space="preserve">Elly Kurnia Mastuti
Bagaskoro Adi Hutomo
Fahral Athallah Chandra
Novia Ramadhani
</t>
  </si>
  <si>
    <t>42</t>
  </si>
  <si>
    <t xml:space="preserve">Desain Proses dan Produk Olahan Pepaya Calina Afkir
</t>
  </si>
  <si>
    <t>Indah Yuliasih, Sugiarto, Illah Sailah, Purwoko, Muslich</t>
  </si>
  <si>
    <t xml:space="preserve">Putri Nur Isnaeni
Gabriel Natanael Merasano Sinaga
Rifqa Annada
</t>
  </si>
  <si>
    <t>43</t>
  </si>
  <si>
    <t xml:space="preserve">Perancangan Industri Emping Melinjo Di Pandeglang Banten
</t>
  </si>
  <si>
    <t>Sugiarto, Indah Yuliasih, Endang Warsiki, Ika Amalia Kartika</t>
  </si>
  <si>
    <t xml:space="preserve">Fitria Putri Herawati
Tiara Anissa
Naufal Arnof
Rahyu Zulaiha
</t>
  </si>
  <si>
    <t>44</t>
  </si>
  <si>
    <t xml:space="preserve">Desain Agroindustri Minyak Pala Terpeneless
</t>
  </si>
  <si>
    <t>Meika Syahbana Rusli, Erliza Noor, Yandra</t>
  </si>
  <si>
    <t xml:space="preserve">Siti Nurhasaroh
Yulio
Refami Pratama Sanjaya
Marsha Gabriella Nauli
</t>
  </si>
  <si>
    <t>45</t>
  </si>
  <si>
    <t xml:space="preserve">Desain Proses Pengomposan Limbah Sludge di PT Tanjungenim Lestari Pulp and Paper (TeLPP) Suamtera Selatan
</t>
  </si>
  <si>
    <t>Andes Ismayana, Moh. Yani, Nastiti Siswi Indrasti</t>
  </si>
  <si>
    <t xml:space="preserve">Muhammad Rizky Septian Efendi
Salma Husna Pertiwi
Sanaya Nafa Adhira
</t>
  </si>
  <si>
    <t>46</t>
  </si>
  <si>
    <t xml:space="preserve">Desain Peningkatan Nilai Tambah Produk Pangan Steril UMKM Untuk Memenuhi Aspek Legalitas
</t>
  </si>
  <si>
    <t>Sugiarto, Elisa Anggraeni, Muslich</t>
  </si>
  <si>
    <t xml:space="preserve">Farah Fadhilah Widiaputri
Ramzi Khalikurrahman
Yehezkiel Ebry Novrain Sembiring
Mas Muhamad Yusrin Himawan
</t>
  </si>
  <si>
    <t>47</t>
  </si>
  <si>
    <t xml:space="preserve">Desain Unit Pengelolaan Limbah Cangkang Terpadu (UPLCT) Sebagai Upaya Peningkatan Nilai Tambah Limbah Padat Rajungan
</t>
  </si>
  <si>
    <t>Elisa Anggraeni, Mulyorini Rahayuningsih</t>
  </si>
  <si>
    <t xml:space="preserve">Ariq Rizky Fadhlurrakhman
Muhammad Nur Faidzin
Jesslyn Alvina Alan
</t>
  </si>
  <si>
    <t>48</t>
  </si>
  <si>
    <t xml:space="preserve">Peningkatan Kualitas Produk dan Pemanfaatan Limbah Cair Produksi Minyak Goreng Kelapa Koperasi W
</t>
  </si>
  <si>
    <t>Sapta Raharja, Prayoga Suryadarma, Suprihatin</t>
  </si>
  <si>
    <t xml:space="preserve">Asyila Amelia Zahwa
Punny Benedekta Purba
Muhammad Firdaus Ramadhan
</t>
  </si>
  <si>
    <t>49</t>
  </si>
  <si>
    <t xml:space="preserve">Perbaikan Proses Produksi dan Sistem Kerja Pabrik, Serta Pengembangan Produk di CV. Bio Chitosan Indonesia
</t>
  </si>
  <si>
    <t>Ika Amalia Kartika, Machfud, Ono Suparno</t>
  </si>
  <si>
    <t xml:space="preserve">Karisma Putri Pratama
Muhammad Rasyid Ramadhan
Rizka Rahmah
</t>
  </si>
  <si>
    <t>50</t>
  </si>
  <si>
    <t xml:space="preserve">Evaluasi Kesehatan, Keselamatan Kerja dan Lingkungan Serta Penanganan Limbah Pabrik Penyamakan Kulit
</t>
  </si>
  <si>
    <t>Ono Suparno, Suprihatin, Nastiti Siswi Indrasti, Niken Ayu Permatasari</t>
  </si>
  <si>
    <t xml:space="preserve">Muhammad Rama Armando
Nabila Maulidza
Mirza Achmad Fahreza
</t>
  </si>
  <si>
    <t>51</t>
  </si>
  <si>
    <t xml:space="preserve">Desain Produk Bio Oil Spill Dispersant Berbahan Surfaktan Sawit Untuk Penanganan Perairan Tercemar Hidrokarbon
</t>
  </si>
  <si>
    <t>Erliza, Anas Miftah Fauzi, Moh. Yani</t>
  </si>
  <si>
    <t xml:space="preserve">Andre Irawan
Nabilah Shafa Mardianis
Swaniasia Wida Sari
Iwang Benaya
</t>
  </si>
  <si>
    <t>52</t>
  </si>
  <si>
    <t xml:space="preserve">Desain Produk Minuman Serbuk Kesehatan
</t>
  </si>
  <si>
    <t>Erliza, Faqih Udin, Nastiti Siswi Indrasti</t>
  </si>
  <si>
    <t xml:space="preserve">Fathiyara Daneta Putri
Marsha Hanifa Anindita
Muhamad Rasyiid Fajri Riyanto
</t>
  </si>
  <si>
    <t>53</t>
  </si>
  <si>
    <t xml:space="preserve">Pemanfaatan Sukrosa Ester Sawit Sebagai Emulsifier Pada Produk Personal Care
</t>
  </si>
  <si>
    <t>Erliza, Meika Syahbana Rusli, Endang Warsiki, Yandra</t>
  </si>
  <si>
    <t xml:space="preserve">Mutiah Suha Aditha
Naila Fauzia Salsabila
Serli Jauhari
Firlia Mayadah
Adinda Salfa Tabina
</t>
  </si>
  <si>
    <t>54</t>
  </si>
  <si>
    <t xml:space="preserve">Pengembangan Inovasi Produk Turunana Minyak Sacha Inchi (Plukenetia volubilis)
</t>
  </si>
  <si>
    <t>Dwi Setyaningsih, Purwoko</t>
  </si>
  <si>
    <t xml:space="preserve">Ina Tarida
Intan Shafira Andriani
Nurul Amanah
</t>
  </si>
  <si>
    <t>55</t>
  </si>
  <si>
    <t xml:space="preserve">Desain Produk Abon Dari Bahan Nabati Di PT jamur Yasa Sriwijaya - Meatless Kingdom, Kota Cimahi Jawa Barat
</t>
  </si>
  <si>
    <t>Dwi Setyaningsih, Faqih Udin</t>
  </si>
  <si>
    <t xml:space="preserve">Fidelia Folasade Fousteen Pakasy
Abdullah Jabr Galtar Santoso
Nadine Gracella
</t>
  </si>
  <si>
    <t>56</t>
  </si>
  <si>
    <t xml:space="preserve">Desain Pengembangan Bisnis Kombucha Cascara KTH Cibulao
</t>
  </si>
  <si>
    <t>Elisa Anggraeni, Illah Sailah, Sapta Raharja, Yandra, Andes Ismayanan</t>
  </si>
  <si>
    <t xml:space="preserve">Awfiyah Khairuna Tanjung
Tarisa As’adila Agustina
Shafina Raamiza Wisman
Gymnastiar Raharjo
Michellia Cempaka Saraswaty
</t>
  </si>
  <si>
    <t>57</t>
  </si>
  <si>
    <t>Modifikasi Nanoselulosa dari Serat Limbah Biomassa Sebagai Matriks Pelepasan Unsur Hara Tanaman</t>
  </si>
  <si>
    <t>Prof. Dr. Farah Fahma, S.T.P., M.T.~NIP(197705182005012001)~NIDN(0018057703)~IDScopus(36536701900)~IDSinta(5975691)~IDOrchid(0000-0003-3690-1217)~IDScholar(5ut1l4cAAAAJ); Prof. Dr. Ir. Khaswar Syamsu, M.Sc.St.~NIP(196308171988031003)~NIDN(0017086308)~IDScopus(6507451876)~IDSinta(5979110)~IDOrchid(0000-0002-5113-8830)~IDScholar(Rt2PiqwAAAAJ S)</t>
  </si>
  <si>
    <t>59.410.000</t>
  </si>
  <si>
    <t>58</t>
  </si>
  <si>
    <t>Pemodelan Transformasi Digital Pembiayaan Syariah Mudharabah Berbasis Blokchain dan Artificial Intelligence pada Peternakan Penggemukan Sapi Pondok Pesantren</t>
  </si>
  <si>
    <t>Prof. Dr. Taufik, S.T.P., M.Si.~NIP(197006141995121001)~NIDN(0014067002)~IDScopus(55014499000)~IDSinta(257700)~IDOrchid(0000-0002-2071-089X)~IDScholar(UTKYFlIAAAAJ); Prof. Dr. Ir. Yandra, M.Eng.~NIP(196509141990021001)~NIDN(0014096507)~IDScopus(55946558300)~IDSinta(6042612)~IDOrchid(0000-0002-6183-6069)~IDScholar(LDf7YzkAAAAJ)</t>
  </si>
  <si>
    <t>59.940.000.</t>
  </si>
  <si>
    <t>Supriyadi (F3601211017)</t>
  </si>
  <si>
    <t>59</t>
  </si>
  <si>
    <t>Perancangan Smart Textile dari Serat Rami sebagai Self-Adaptive
 Cooling dan Heating Cloth</t>
  </si>
  <si>
    <t>Prof. Dr. Farah Fahma, S.T.P., M.T.~NIP(197705182005012001)~NIDN(0018057703)~IDScopus(36536701900)~IDSinta(5975691)~IDOrchid(0000-0003-3690-1217)~IDScholar(5ut1l4cAAAAJ)</t>
  </si>
  <si>
    <t>2024 - 2026</t>
  </si>
  <si>
    <t>55.270.000</t>
  </si>
  <si>
    <t>Fery Haidir Irawan (F3501231026)</t>
  </si>
  <si>
    <t>60</t>
  </si>
  <si>
    <t>Smart Fisheries A Comprehensive AI Solution for Species Identification in Indonesian Maritime Zones</t>
  </si>
  <si>
    <t>Prof. Dr. Ir. Yandra, M.Eng.~NIP(196509141990021001)~NIDN(0014096507)~IDScopus(55946558300)~IDSinta(6042612)~IDOrchid(0000-0002-6183-6069)~IDScholar(LDf7YzkAAAAJ); Hendri Wijaya, S.T.P., M.Si.~NIP(201807197710281001)~NIDN(0028107707)~IDScopus(57212628458)~IDSinta(6715252)~IDOrchid(000328085774)~IDScholar(P8PIPxYAAAAJ)</t>
  </si>
  <si>
    <t>2024 - 2025</t>
  </si>
  <si>
    <t>250.000.000</t>
  </si>
  <si>
    <t>61</t>
  </si>
  <si>
    <t>Pemanfaatan Lignoselulosa Tandan Kosong Kelapa Sawit untuk Aplikasi 
 Pupuk Laju Lepas Lambat (Slow-Release Fertilizer)</t>
  </si>
  <si>
    <t>Prof. Dr. Farah Fahma, S.T.P., M.T.~NIP(197705182005012001)~NIDN(0018057703)~IDScopus(36536701900)~IDSinta(5975691)~IDOrchid(0000-0003-3690-1217)~IDScholar(5ut1l4cAAAAJ); Prof. Dr. Ir. Khaswar Syamsu, M.Sc.St.~NIP(196308171988031003)~NIDN(0017086308)~IDScopus(6507451876)~IDSinta(5979110)~IDOrchid(0000-0002-5113-8830)~IDScholar(Rt2PiqwAAAAJ S); Prof. Dr. Ir. Abdul Munif, M.Sc.Agr.~NIP(196306091989031002)~NIDN(0009066308)~IDScopus(57189395304)~IDSinta(6032386)~IDOrchid(0000-0002-7313-9068)~IDScholar(gX4mBuUAAAAJ); Dr. Rini Purnawati, S.T.P., M.Si.~NIP(196410111987102001)~NIDN()~IDScopus()~IDSinta()~IDOrchid()~IDScholar()</t>
  </si>
  <si>
    <t>143.480.000</t>
  </si>
  <si>
    <t>Ika Atsari Dewi (F3601211006); Savira Astri Adriana (F3501211025)</t>
  </si>
  <si>
    <t>62</t>
  </si>
  <si>
    <t>55.380.000</t>
  </si>
  <si>
    <t>63</t>
  </si>
  <si>
    <t>Pengembangan Agroindustri Minyak dan Resin Nyamplung untuk Pangan dan Kosmetika</t>
  </si>
  <si>
    <t>Prof. Dr. Ir. Illah Sailah, M.S.~NIP(195805211982112001)~NIDN(0021055810)~IDScopus(57207302968)~IDSinta(6157394)~IDOrchid(0000-0001-5021-4048)~IDScholar(5c64DUQAAAAJ); Prof. Dr. Ir. Titi Candra Sunarti, M.Si.~NIP(196612191991032001)~NIDN(0019126610)~IDScopus(8636326000)~IDSinta(5988814)~IDOrchid(0000-0002-3227-9769)~IDScholar(ozwwVywAAAAJ); Prof. Dr. Ika Amalia Kartika, S.T.P., M.Si.~NIP(196805051997022001)~NIDN(0005056807)~IDScopus(34971533400)~IDSinta(5975305)~IDOrchid(0000-0002-2703-1865)~IDScholar(FN1erhEAAAAJ); Prof. Dr. Nancy Dewi Yuliana, S.T.P., M.Sc.~NIP(197001272005012001)~NIDN(0027017003)~IDScopus(26424117400)~IDSinta(5979118)~IDOrchid(0000-0003-0249-3753)~IDScholar(2fSuqBoAAAAJ); Dr. Elisa Anggraeni, S.T.P., M.Sc.~NIP(197411261999032002)~NIDN(0026117402)~IDScopus(57195592356)~IDSinta(5991382)~IDOrchid(0000-0002-3018-4627)~IDScholar(8Z1PPZUAAAAJ)</t>
  </si>
  <si>
    <t>366.880.000</t>
  </si>
  <si>
    <t>Vikri Ramadan (F3401211030); Ahdan Kafy Habibie (F3401211111); MUHAMMAD IHSAN TAQIYUDDIN (F3401211056); ANDREW RAPHAEL KACARIBU (F3401211072)</t>
  </si>
  <si>
    <t>64</t>
  </si>
  <si>
    <t>Pengembangan Prototipe dan Pilot Project Implementasi Model Monitoring dan Peningkatan Kinerja Keberlanjutan Rantai Pasok Agroindustri Gula Tebu Berbasis Machine Learning</t>
  </si>
  <si>
    <t>Prof. Dr. Ir. Marimin, M.Sc.~NIP(196109051986091001)~NIDN(0005096104)~IDScopus(7409682197)~IDSinta(5978271)~IDOrchid(0000-0002-9415-5008)~IDScholar(dDtbqMwAAAAJ); Prof. Dr. Ir. Moh. Yani, M.Eng.~NIP(196308051990021001)~NIDN(0005086307)~IDScopus(6603321602)~IDSinta(5995336)~IDOrchid(0000-0003-2231-8143)~IDScholar(7LcoO5AAAAAJ)</t>
  </si>
  <si>
    <t>238.750.000</t>
  </si>
  <si>
    <t>Rohayati (F3601201004)</t>
  </si>
  <si>
    <t>65</t>
  </si>
  <si>
    <t xml:space="preserve">Inovasi Base Plate Untuk kantong Stoma Dengan Penambahan Selulosa Mikrobial
</t>
  </si>
  <si>
    <t>Khaswar Syamsu, Farah fahma</t>
  </si>
  <si>
    <t xml:space="preserve">Siti Nur Amelia Agustina Nurpajriah
Adistya Putri Rananda
Mohamad Firzy
</t>
  </si>
  <si>
    <t>66</t>
  </si>
  <si>
    <t xml:space="preserve">Rancang Bangun New Business Model Concept untuk Cold Chain Mobility Service di PT. Toyota Motor Manufacturing Indonesia
</t>
  </si>
  <si>
    <t>Yandra, Deasy Kartika Rahayu Kuncoro, Muhammad Arif darmawan</t>
  </si>
  <si>
    <t xml:space="preserve">Afif Akbar
Bilal Ahmad Maldhani 
Irgi
</t>
  </si>
  <si>
    <t>67</t>
  </si>
  <si>
    <t xml:space="preserve">Desain Proses Bisnis Factory Sharing TIN Untuk Produk UMKM
</t>
  </si>
  <si>
    <t>Muhammad Arif darmawan, Eliza Anggraeni, Sugiarto</t>
  </si>
  <si>
    <t xml:space="preserve">Ikhrima Qoulia
Ajrul Amilin
Priska Alana Wijaya Waluyo
</t>
  </si>
  <si>
    <t>68</t>
  </si>
  <si>
    <t xml:space="preserve">Pengembangan Etil Ester Minyak Sacha Inchi Sebagai Bahan Baku Kosmetik di PT Eteris Prima Wiyasa
</t>
  </si>
  <si>
    <t>Dwi Setyaningsih, Yandra</t>
  </si>
  <si>
    <t xml:space="preserve">Fathya Ainulwafa Putri Kurnia
Imas Kurniasih 
Anggita Kartika Dwi Ananda 
</t>
  </si>
  <si>
    <t>69</t>
  </si>
  <si>
    <t xml:space="preserve">Pengembangan dan Uji Mutu Berbasis Atsiri untuk Body Spar Anti Nyamuk
</t>
  </si>
  <si>
    <t>Dwi Setyaningsih, Machfud</t>
  </si>
  <si>
    <t xml:space="preserve">Fazriah
Dewi Ratna Sari
Chikal Ananda Dwiputra
</t>
  </si>
  <si>
    <t>70</t>
  </si>
  <si>
    <t xml:space="preserve">Ekonomi Sirkular Berbasis Limbah Kelapa Sawit
</t>
  </si>
  <si>
    <t>Suprihatin, Elisa Anggraeni, Nastiti Siswi Indrasti</t>
  </si>
  <si>
    <t xml:space="preserve">Gina Listiyani
Aaron Syach Adiguna Junio
Jessica Rahmalia
Muhammad Abdillah Prasetyo
Muhammad Raihan Alif Nirwan
</t>
  </si>
  <si>
    <t>71</t>
  </si>
  <si>
    <t xml:space="preserve">Pengembangan Produk Kemasan dan Pemasaran Flavor Enhancer Bernutrisi dan Aman Dikonsumsi dari Fermentasi Gula Kelapa
</t>
  </si>
  <si>
    <t>Prayoga Suryadarma, Yandra</t>
  </si>
  <si>
    <t xml:space="preserve">Rinda Uli Octaviani Lumban Raja
Muhammad Luthfi Rabbani
Naila Muna Hunaini Rangkuti
</t>
  </si>
  <si>
    <t>72</t>
  </si>
  <si>
    <t xml:space="preserve">Evaluasi Proses Produksi dan Studi Kelayakan Minyak Ikan dari Hasil Samping Pengolahan Surimi di PT Starfood International
</t>
  </si>
  <si>
    <t>Illah Sailah, Deasy Kartika Rahayu Kuncoro, Farah Fahma</t>
  </si>
  <si>
    <t xml:space="preserve">Fitrotul Laili Ramadhani 
Kharisma Udfa Firdausi
Abdul Halid Dunggio
</t>
  </si>
  <si>
    <t>73</t>
  </si>
  <si>
    <t xml:space="preserve">Optimasi Kemasan Aktif Penjerap Pembaruan Teknologi Untuk Meningkatkan Umur Simpan Pisang Cavendish dan Implementasi Skala Industri
</t>
  </si>
  <si>
    <t>Endang Warsiki, Musich, Muhammad Arif Darmawan</t>
  </si>
  <si>
    <t xml:space="preserve">Akbar Sanjaya
Muhammad Khalil Fauzan
Aulia Mardhatillah
Diptya Khaira
</t>
  </si>
  <si>
    <t>74</t>
  </si>
  <si>
    <t xml:space="preserve">Product Development of Kopyor Coconut (Cocos nucifera var. Kopyor) Based Products For Innovative Design
</t>
  </si>
  <si>
    <t>Mulyorini Rahayuningsih, Farah Fahma, Deasy Kartika Rahayu Kuncoro, Muslich, Titi Candra Sunarti</t>
  </si>
  <si>
    <t xml:space="preserve">Bayu Anggoro Kasih
Alisya Pramudya Wardhani
Josephine Fatima Devi
Surya Karunia Ramadhan
Muhammad Ramadhan
</t>
  </si>
  <si>
    <t>75</t>
  </si>
  <si>
    <t xml:space="preserve">Revitaslisasi Rantai Pasok Daging Beku : Implementasi Intelligent Packaging untuk Jejak Logistik dan Keamanan Produk di PT XYZ
</t>
  </si>
  <si>
    <t>Endang Warsiki, Deasy Kartika Rahayu Kuncoro, Machfud</t>
  </si>
  <si>
    <t xml:space="preserve">Muhammad Zidan Hakim Amiri
Lena Suriyani 
Hizkia Shafaat Wicaksono
Muhammad Zidan Akbar Kusnadi
</t>
  </si>
  <si>
    <t>76</t>
  </si>
  <si>
    <t xml:space="preserve">Desain Unit Produksi Mango Butter dari Kernel Mangga Indramayu di Aquila Herb untuk Mewujudkan Campaign #INDONESIAHEROINGREDIENTS
</t>
  </si>
  <si>
    <t>Elisa Anggraeni, Illah Sailah, Indah Yuliasih, Hartrisari Hardjomidjojo</t>
  </si>
  <si>
    <t xml:space="preserve">Djildza Inayatu Djil'idzati
Muhammad Firsya Jatnika
Ihda Sabila Yassierli
Revinka Iyon Kireina
</t>
  </si>
  <si>
    <t>77</t>
  </si>
  <si>
    <t xml:space="preserve">Desain Teknik Proses Co-Composting Limbah Padat PT Tanjungenim Lestari Pulp and Paper Dengan Metode Windrow Composting dan Aerated Static Pile (ASP)
</t>
  </si>
  <si>
    <t>Moh. Yani, Nastiti Siswi Indrasti, Andes Ismayana, Erliza Noor</t>
  </si>
  <si>
    <t xml:space="preserve">Maslahatul Ummah
Alif Zikri Fadhali
Fazhan Alwi Pasaribu
Jasmine Aisya Putri
</t>
  </si>
  <si>
    <t>78</t>
  </si>
  <si>
    <t xml:space="preserve">Pengembangan Sistem Pengelolaan Limbah Cair Batik Studi Kasus Industri Batik Lasem
</t>
  </si>
  <si>
    <t>Muhammad Romli</t>
  </si>
  <si>
    <t xml:space="preserve">Faroug Adi Asa
Nanda Dizza Zakariyya
Windyarti Mustika Cakraningtyas 
Rahmah Dwi Cahyani
</t>
  </si>
  <si>
    <t>79</t>
  </si>
  <si>
    <t xml:space="preserve">Desain Produk Mi Sagu Siap Saji di Pondok Sagu Metro
</t>
  </si>
  <si>
    <t>Muhammad Romli, Indah Yuliasih</t>
  </si>
  <si>
    <t xml:space="preserve">Yulviera Alifiannisa
Rendi Kurniawan
Mirsa Armana
</t>
  </si>
  <si>
    <t>80</t>
  </si>
  <si>
    <t xml:space="preserve">Desain Teknik Pengolahan Limbah Cair dan Pemanfaatan Produk Out-Of-Specification (OOS) Pada Proses Produksi Cilok Beku
</t>
  </si>
  <si>
    <t>Andes Ismayana, Mulyorini Rahayuningsih</t>
  </si>
  <si>
    <t xml:space="preserve">Fatia Zuana Afifa
Disa Puja Almira
Risa Nur Fajriati
</t>
  </si>
  <si>
    <t>81</t>
  </si>
  <si>
    <t xml:space="preserve">Solusi Transformasi Digital Untuk Ketelusuran Rantai Pasok Sawit Rakyat
</t>
  </si>
  <si>
    <t xml:space="preserve">Akhmad Fatikhudin
Muhammad Dani Rudiansyah
Shafa'a Puteri Al Zahra
Dinda Safhira Audry
</t>
  </si>
  <si>
    <t>82</t>
  </si>
  <si>
    <t xml:space="preserve">Desain Produksi Buah dan Bumbu Kering di PT Primafood Relasi Utama Studi Kasus Apel Kering
</t>
  </si>
  <si>
    <t>indah Yuliasih, Machfud, Sugiarto</t>
  </si>
  <si>
    <t xml:space="preserve">Dzulkifli Rasyid
Fadly Rizqi Nur
Manda Nur Intan Riyanti
</t>
  </si>
  <si>
    <t>83</t>
  </si>
  <si>
    <t xml:space="preserve">Pengembangan Produk Dried Breadcrumbs di PT LeGitt Boga Mandiri
</t>
  </si>
  <si>
    <t>Titi Candra Sunarti, Muhammad Arif Darmawan, Deasy Kartika Rahayu Kuncoro</t>
  </si>
  <si>
    <t xml:space="preserve">Takbiratul Ikram
Hanna Aulia Sajidah
Mutiara Suci Oktafianti
</t>
  </si>
  <si>
    <t>84</t>
  </si>
  <si>
    <t xml:space="preserve">Desain Produk Beef Tallow dari Lemak Trimming Daging Sapi Beku di Perumda Dharma Jaya
</t>
  </si>
  <si>
    <t>Titi Candra Sunarti, Sugiarto, Nastiti Siswi Indrasti, Suprihatin</t>
  </si>
  <si>
    <t xml:space="preserve">Dhea Mirlyta Salsabilla Animasari
Armandya Jaka Nugraha
Raihan Rivellino Adzani
</t>
  </si>
  <si>
    <t>85</t>
  </si>
  <si>
    <t xml:space="preserve">Desain Agroindustri Minyak Pala Whole dan Terpeneless Rendah Safrol Serta Metil Eugenol
</t>
  </si>
  <si>
    <t>Meika Syahbana Rusli, Deasy Kartika Rahayu Kuncoro</t>
  </si>
  <si>
    <t xml:space="preserve">Yusila Husni Faiqah
Vera Windriyani
Yulinda Rahadatul Nabila
</t>
  </si>
  <si>
    <t>86</t>
  </si>
  <si>
    <t xml:space="preserve">Optimasi Proses Produksi Kitin, Penanganan Limbah Cair, dan Pengembangan Produk Turunan Kitosan di CV. Biochitosan Indonesia
</t>
  </si>
  <si>
    <t>Ika Amalia Kartika, Anas Miftah Rahayu</t>
  </si>
  <si>
    <t xml:space="preserve">Khania Mursyidatul Ashimah
Rahmah Muthiah Abdul Kholiq
Rifky Fahrul Arifin
</t>
  </si>
  <si>
    <t>87</t>
  </si>
  <si>
    <t xml:space="preserve">Strategi Penguatan Pengadaan Bahan Baku, Pemasaran dan Branding di MRMP Bulog Sragen
</t>
  </si>
  <si>
    <t>Tajuddin bantacut, Andes Ismayana, Muslich</t>
  </si>
  <si>
    <t xml:space="preserve">Hizrian Muhtadi
Lulu Syarifa
Hannantyo Aji
</t>
  </si>
  <si>
    <t>88</t>
  </si>
  <si>
    <t xml:space="preserve">Optimasi Proses Produksi Beras Pada Pengeringan, Penyimpanan, dan K3 di Modern Rice Milling Plant (MRMP) Karawang
</t>
  </si>
  <si>
    <t>Tajuddin bantacut, Sugiarto, Meika Syahbana Rusli</t>
  </si>
  <si>
    <t xml:space="preserve">Queen Rycita Ananda Simbolon
Rayna Fadilaturahma
Bilqis Syarifah
</t>
  </si>
  <si>
    <t>89</t>
  </si>
  <si>
    <t xml:space="preserve">Peningkatan Kapasitas Produksi Serta Pemanfaatan Hasil Samping Penggilingan Padi Pada CV Mekar Jaya di Kabupaten Garut
</t>
  </si>
  <si>
    <t>Muslich, Muhammad Arif Darmawan, Sapta Raharja</t>
  </si>
  <si>
    <t xml:space="preserve">Tasya Laras Rahmadhiani 
Aulia Febrianty Sudarmanto
Adelia Putri Faradilla
</t>
  </si>
  <si>
    <t>90</t>
  </si>
  <si>
    <t xml:space="preserve">Pengembangan Standar Kualitas Produksi Pada Toko Daging Meatly (Sijamal Corp)
</t>
  </si>
  <si>
    <t>Muslich, Ono Suparno, Yandra, Purwoko</t>
  </si>
  <si>
    <t xml:space="preserve">Salsabilla Mauldina
Muhammad Farhan Akbar
Abdul Ghoni Hamid
</t>
  </si>
  <si>
    <t>91</t>
  </si>
  <si>
    <t xml:space="preserve">Perbaikan Produksi Coconut Aminos Menggunakan Gula Kelapa Padat Dalam Rangka Meningkatkan Efisiensi Biaya Produksi dan Memenuhi Standar Ekspor
</t>
  </si>
  <si>
    <t>Erliza, Anas Miftah, Farah Fahma, Purwoko</t>
  </si>
  <si>
    <t xml:space="preserve">Wulan Sri Putri Ayuningtyas
Sekar Ayu Wulandari
Dinda Alamiah
Arya Fatih Athallah
</t>
  </si>
  <si>
    <t>92</t>
  </si>
  <si>
    <t xml:space="preserve">Pengembangan Produk Olahan Berbasis Puyuh Untuk Makanan Pendamping ASI Instan
</t>
  </si>
  <si>
    <t>Erliza, Mulyorini Rahayuningsih, Sapta Raharja, Deasy Kartika Rahayu Kuncoro</t>
  </si>
  <si>
    <t xml:space="preserve">MUTYA ROSA
Nahliya Rian Az-zahra
Masyiroh Ifti Rosyidah Layyinah
</t>
  </si>
  <si>
    <t>93</t>
  </si>
  <si>
    <t xml:space="preserve">Sintesis Bio Propilen Glikol Dari Gliserol Sawit Sebagai Bahan Pelarut Pada Produk Handbody Lotion Dan Serum Wajah
</t>
  </si>
  <si>
    <t>Erliza, Sapta Raharja, Ono Suparno</t>
  </si>
  <si>
    <t xml:space="preserve">Albertha Ayustiningsih Putri Zamili
Deni Gusti Yandi 
Yazalfa Intan Putri Hastanto
Puguh Wicaksono
</t>
  </si>
  <si>
    <t>94</t>
  </si>
  <si>
    <t xml:space="preserve">Perancangan Constructed Wetland Skala Pilot Untuk Penanganan Air Tawar Tercemar Hidrokarbon
</t>
  </si>
  <si>
    <t>Moh. Yani, Anas Miftah Fauzi, Purwoko</t>
  </si>
  <si>
    <t xml:space="preserve">Shandyka Yudha Pratama
Meika Widyastuti
Muhammad Nurran Azka
</t>
  </si>
  <si>
    <t>95</t>
  </si>
  <si>
    <t xml:space="preserve">Bio-OSD Berbahan Surfaktan Sawit Untuk Penanganan Air Laut Tercemar Hidrokarbon
</t>
  </si>
  <si>
    <t>Moh. Yani, Anas Miftah Fauzi, Hartrisari Hardjomidjojo</t>
  </si>
  <si>
    <t xml:space="preserve">Agung Wahyu Kusuma
Raissa Ghina Amalia
Beltsazar Amethyst 
</t>
  </si>
  <si>
    <t>96</t>
  </si>
  <si>
    <t xml:space="preserve">Strategi Penguatan Pengadaan Bahan Baku, Pemasaran, dan Branding di MRMP Bulog sragen
</t>
  </si>
  <si>
    <t>Erliza, Elisa Anggraeni, Rini Purnawati</t>
  </si>
  <si>
    <t xml:space="preserve">Ayustia Gita Pratiwi
Yuliana Muslimah
Agis Triono
Siti Izdihar Aufa Naqiyyah
</t>
  </si>
  <si>
    <t>97</t>
  </si>
  <si>
    <t xml:space="preserve">Optimalisasi Berkelanjutan Rantai Pasok Industri Rajungan di PT Kelola Mina Laut Cikande
</t>
  </si>
  <si>
    <t>Hartrisari Hardjomidjojo, Marimin, Illah Sailah</t>
  </si>
  <si>
    <t xml:space="preserve">Wasis Waskito Ajie
Ahmad Athooulloha Faiq
Vida Silvia Febriana
Afdalu Zikri
Axel Stephen Handoko
</t>
  </si>
  <si>
    <t>98</t>
  </si>
  <si>
    <t xml:space="preserve">Desain Sistem Penunjang Keputusan Pada Rantai Pasok Durian Monthong Palu di PT XYZ
</t>
  </si>
  <si>
    <t>Marimin, Machfud, Indah Yuliasih</t>
  </si>
  <si>
    <t xml:space="preserve">Annisa Rianti Andarini
Nurul Cinthiya Nasution
Andhika Rakha Pramana
Ananda Zahra Ariannisa
</t>
  </si>
  <si>
    <t>99</t>
  </si>
  <si>
    <t xml:space="preserve">Desain Proses Produksi Pemanis Stevia Menggunakan Kavitasi Microbubble dan Pemanfaatan Limbah Ekstradisi Menjadi Minuman Fungsional
</t>
  </si>
  <si>
    <t>Erliza Noor, Anas Miftah Fauzi</t>
  </si>
  <si>
    <t xml:space="preserve">Nur Aini Putri Nabilah
Pivi Agnes F.Situmorang
Nova Andriani
Hana Aulia Mughniy
</t>
  </si>
  <si>
    <t>100</t>
  </si>
  <si>
    <t>AI-powered CRM in the post-COVID-19 pandemic</t>
  </si>
  <si>
    <t>Marimin</t>
  </si>
  <si>
    <t>101</t>
  </si>
  <si>
    <t>Pangsa Pasar Beras Pemerintah dan Stok Dinamis</t>
  </si>
  <si>
    <t>Tajuddin Bantacut</t>
  </si>
  <si>
    <t>102</t>
  </si>
  <si>
    <t>Survey Mid-term The Devolopment of Integrated Farming System in Upland Areas (UPLAND) Project</t>
  </si>
  <si>
    <t>Prayoga Suryadarma</t>
  </si>
  <si>
    <t>103</t>
  </si>
  <si>
    <t>A student satisfaction framework for evaluating quality and priority service in management of open and distance education in Indonesia</t>
  </si>
  <si>
    <t>Illah Sailah</t>
  </si>
  <si>
    <t>104</t>
  </si>
  <si>
    <t>Characteristics of Polypropylene-based antistatic bio-nano composites reinforced with mono-diacylglycerols and cellulose nanocrystals</t>
  </si>
  <si>
    <t>Dwi Setyaningsih, Muhammad Syukur Sarfat, Farah Fahma, Nastiti Siswi Indrasti</t>
  </si>
  <si>
    <t>105</t>
  </si>
  <si>
    <t>Increasing polyphenol antioxidant in Orthosiphon stamineus Benth leaves with fermentation extraction by Saccharomyces cerevisiae ATCC-9763</t>
  </si>
  <si>
    <t>106</t>
  </si>
  <si>
    <t>A conceptual framework to increase sustainability in the agro-industry supply chain: a systematic literature review and future research agenda</t>
  </si>
  <si>
    <t>107</t>
  </si>
  <si>
    <t>Coffee Waste Management Using Valorization Technology: Potential Development of Eco-Industrial Park in Jember Regency, Indonesia</t>
  </si>
  <si>
    <t>Machfud, Marimin, Titi Candra Sunarti</t>
  </si>
  <si>
    <t>108</t>
  </si>
  <si>
    <t>Decision Support System for Bioenergy Supply Chain Optimization: A Case Study at Lebak District, Banten Indonesia</t>
  </si>
  <si>
    <t>Yandra, Marimin, Erliza</t>
  </si>
  <si>
    <t>109</t>
  </si>
  <si>
    <t>Alternative corporate entrepreneurship strategies for improving firm performance using the analytical hierarchy process</t>
  </si>
  <si>
    <t>Meika Syahbana Rusli</t>
  </si>
  <si>
    <t>110</t>
  </si>
  <si>
    <t>Biopolymer-based slow/controlled-release fertilizer (SRF/CRF): Nutrient release mechanism and agricultural sustainability</t>
  </si>
  <si>
    <t>Farah Fahma, Khaswar Syamsu</t>
  </si>
  <si>
    <t>111</t>
  </si>
  <si>
    <t>Competency mapping to develop human resources for Indonesia’s sugarcane agroindustry in the Industry 4.0 era</t>
  </si>
  <si>
    <t>Illah Sailah, Marimin, Muhammad Romli</t>
  </si>
  <si>
    <t>112</t>
  </si>
  <si>
    <t>A multi-criteria model of supply chain sustainability assessment and improvement for sugarcane agroindustry</t>
  </si>
  <si>
    <t>Marimin, Machfud, Moh. Yani</t>
  </si>
  <si>
    <t>113</t>
  </si>
  <si>
    <t>Response Surface Methodology for Optimization of Mucilage Extraction from Dioscorea alata Tuber</t>
  </si>
  <si>
    <t>Titi Candra Sunarti</t>
  </si>
  <si>
    <t>114</t>
  </si>
  <si>
    <t>SPATIAL-BASED SMART COMMUNITY INFRASTRUCTURES MODEL OF SMART ECONOMY SUSTAINABILITY IN SMART VILLAGE ENVIRONMENT</t>
  </si>
  <si>
    <t>115</t>
  </si>
  <si>
    <t>Zero-Waste Bioenergy to Lower Energy Transition Risks in Indonesia — A Circular Economy Practice on Methane Capture in Biogas Production from POME</t>
  </si>
  <si>
    <t>Erliza</t>
  </si>
  <si>
    <t>116</t>
  </si>
  <si>
    <t>Virgin callpohyllum oil as a antioxidant potential and potential cosmetic active ingredient</t>
  </si>
  <si>
    <t>Illah Sailah, Ika Amalia Kartika, Ono Suparna</t>
  </si>
  <si>
    <t>117</t>
  </si>
  <si>
    <t>Enhancing Land Use Planning through Integrating Landscape Analysis and Flood Inundation Prediction Bekasi City’s in 2030</t>
  </si>
  <si>
    <t>118</t>
  </si>
  <si>
    <t>Plant-Disease Relation Model through BERT-BiLSTM-CRF Approach</t>
  </si>
  <si>
    <t>119</t>
  </si>
  <si>
    <t>Honey-loaded 3D bioprinted scaffolds: A promising fabrication with wound healing properties</t>
  </si>
  <si>
    <t>Farah Fahma</t>
  </si>
  <si>
    <t>120</t>
  </si>
  <si>
    <t>The effect of corporate entrepreneurship on firm performance: evidence from lubricant distributor firms in Indonesia</t>
  </si>
  <si>
    <t>121</t>
  </si>
  <si>
    <t>Determination of Superior Commodities For The Development of Small and Medium Industries in Kampar Regency</t>
  </si>
  <si>
    <t>Anas Miftah Fauzi, Titi Candra Sunarti, Sapta Raharja</t>
  </si>
  <si>
    <t>122</t>
  </si>
  <si>
    <t>Empowering leadership and team change capability: the mediating effect of team PsyCap</t>
  </si>
  <si>
    <t>Anas Miftah Fauzi</t>
  </si>
  <si>
    <t>123</t>
  </si>
  <si>
    <t>Agro-Food Supply Chain Risk Assessment: A Review Based on Technique and Approach</t>
  </si>
  <si>
    <t>Machfud, Hartrisari Hardjomidjojo, Muhammad Romli</t>
  </si>
  <si>
    <t>124</t>
  </si>
  <si>
    <t>Location-specific technology transfer model in an agricultural technology park, Indonesia</t>
  </si>
  <si>
    <t>Khaswar Syamsu, Sapta Raharja, Sukardi</t>
  </si>
  <si>
    <t>125</t>
  </si>
  <si>
    <t>An intelligent decision support system modelling for improving agroindustry's supply chain performance: a case study</t>
  </si>
  <si>
    <t>126</t>
  </si>
  <si>
    <t>A Conceptual Model of Rural Tourism in Bali to Build Up Global Competitiveness</t>
  </si>
  <si>
    <t>127</t>
  </si>
  <si>
    <t>Polypropylene-based Bio-nano Composites Reinforced with Cellulose Nanocrystals and Added with Mono-diacylglycerols as Antistatic Agent</t>
  </si>
  <si>
    <t>Dwi Setyaningsih, Farah Fahma, Nastiti Siswi Indrasti</t>
  </si>
  <si>
    <t>128</t>
  </si>
  <si>
    <t>Designing a decision support system for integrated production and distribution planning in shrimp agro-industry</t>
  </si>
  <si>
    <t>Machfud, Elisa Anggraeni, Sukardi</t>
  </si>
  <si>
    <t>129</t>
  </si>
  <si>
    <t>Hybrid of machine learning-based multiple criteria decision making and mass balance analysis in the new coconut agro-industry product development</t>
  </si>
  <si>
    <t>Machfud, Moh. Yani, Marimin</t>
  </si>
  <si>
    <t>130</t>
  </si>
  <si>
    <t>The Identification of Typologies and Levels Utilization of Non-Commercial Ports in Indonesia Using the Machine Learning Method</t>
  </si>
  <si>
    <t>131</t>
  </si>
  <si>
    <t>Improvement of the Environmental Performance of Canned Pineapple Production Based on Life Cycle Assessment</t>
  </si>
  <si>
    <t>Andes Ismayana, Moh. Yani</t>
  </si>
  <si>
    <t>132</t>
  </si>
  <si>
    <t>Effect of Electrocoagulation on Improving the Quality of Palm Oil Liquid Waste</t>
  </si>
  <si>
    <t>Nastiti Siswi Indrasti, Suprihatin</t>
  </si>
  <si>
    <t>133</t>
  </si>
  <si>
    <t>Toward a Sustainable Surimi Industry: Comprehensive Review and Future Research Directions of Demersal Fish Stock Assessment Technique</t>
  </si>
  <si>
    <t>134</t>
  </si>
  <si>
    <t>Challenges and prospects of multilayer plastic waste management in several countries: A systematic literature review</t>
  </si>
  <si>
    <t>135</t>
  </si>
  <si>
    <t xml:space="preserve">Pengembangan Industri Karet Reklamasi (Reclaimed Rubber) untuk Bahan Baku Produksi Ban di PT Bridgestone Tire Indonesia Area Jabodetabek </t>
  </si>
  <si>
    <t>Ono Suparno, Nastiti Siswi Indrasti, Titi Candra Sunarti, Hartrisari, Suprihatin</t>
  </si>
  <si>
    <t>Kajian Perubahan Iklim dan Dampaknya terhadap Debit Sungai Cidanau Periode 1996-2023” dan meninjau bendungan dan kebun persemaian tanaman di rumah pompa, Pantai Anyer</t>
  </si>
  <si>
    <t>Prof.Dr.Ir. Budi Indra Setiawan, M.Agr</t>
  </si>
  <si>
    <t>2022-2027</t>
  </si>
  <si>
    <t>Kerja sama PT Krakatau Industri</t>
  </si>
  <si>
    <t>v</t>
  </si>
  <si>
    <t>Kajian Hidrologi Pengelolaan Banjir</t>
  </si>
  <si>
    <t>Dr. Ir. Yuli Suharnoto, M.Eng</t>
  </si>
  <si>
    <t>Kerja sama PT Sasana Yudha Bakti</t>
  </si>
  <si>
    <t>Pengembangan fetigator otomatis nirdaya (FONI) untuk budidaya tanaman pada ramah lingkungan</t>
  </si>
  <si>
    <t>Dr. Chusnul Arif, STP., M.Si</t>
  </si>
  <si>
    <t>Komfetitip Indonesia</t>
  </si>
  <si>
    <t>Integrasi Serat Tandan Kosong Kelapa Sawit pada Unit Modifikasi Rotating Biological Contractor Limbah Cair Kelapa Sawit untuk Optimalisasi Biometana</t>
  </si>
  <si>
    <t>Dr. Eng. Allen Kurniawan, S.T, M.T.</t>
  </si>
  <si>
    <t>BIMA - Kemdikbudristek</t>
  </si>
  <si>
    <t>Rancang Bangun Prototipe Alat Ukur dan Peraga Indeks Standar Pencemar Udara (ISPU) Statis dan Bergerak</t>
  </si>
  <si>
    <t>Prof. Dr. Ir. Arief Sabdo Yuwono</t>
  </si>
  <si>
    <t>Kajian Kerentanan Bangunan Shelter (Escape Building) Di Daerah Pesisir Pantai Terhadap Gempa Dan Tsunami</t>
  </si>
  <si>
    <t>Dr. Eng. Heriansyah Putra, SPd.,M.Eng</t>
  </si>
  <si>
    <t>Riset Kolaborasi Indonesia</t>
  </si>
  <si>
    <t>Penelitian Pascasarjana - Penelitian Pendidikan Magister menuju Doktor untuk Sarjana Unggul-PPS PMDSU Tahun 2024 Batch 0 (Pengembangan Teknologi Fertigator Otomatis Nirdaya untuk Sistem Minapadi Portabel) (Output-Based)</t>
  </si>
  <si>
    <t>Penelitian Pascasarjana - Penelitian Pendidikan Magister menuju Doktor untuk Sarjana Unggul-PPS PMDSU Tahun 2024 Batch 0 (Pengembangan Teknologi Membran Filtrasi dan Moving Bed Biofilm Reactor Untuk Sistem Recirculating Smart Fish-Farming) (Output-Based)</t>
  </si>
  <si>
    <t xml:space="preserve">Bantuan HIBAH POST-DOCTORAL 2024 Tahun 2024 Batch 1 : "Analysis of Climate Patterns in The Fire-Prone Provinces of Sumatra, Indonesia" </t>
  </si>
  <si>
    <t>Potensi Penggunaan Plastik Limbah Pertanian Untuk Aspal Modifikasi</t>
  </si>
  <si>
    <t>Tri Sudibyo, ST., M.Sc., Ph.D</t>
  </si>
  <si>
    <t>Penelitian Dosen Muda</t>
  </si>
  <si>
    <t>Optimasi Pengolahan Limbah Cair Kelapa Sawit Melalui Integrasi Unit Rotating Biological Contactor dan Filtrasi Serat Lignoselulosa</t>
  </si>
  <si>
    <t>Skema Riset Kolaborasi Nasional (RI-NA)</t>
  </si>
  <si>
    <t>RISET KEMITRAAN DASAR (RKD) Tahun 2023 Batch 1 (RISET KEMITRAAN DASAR (RKD)) : "Development of Machine Learning and Remote Sensing-based Water Management Platform for Sustainable Agriculture in Asian Deltas"</t>
  </si>
  <si>
    <t>Variasi Spasiotemporal Polutan Pm2.5 Di Jalan Raya Kota Bogor Berdasarkan Instrumen Pemantauan Bergerak</t>
  </si>
  <si>
    <t>Andik Pribadi</t>
  </si>
  <si>
    <t>Applicability of Soybean Crude Urease - Calcite Precipitation (SCU-CP) Method as Strengthening Technique for Problematic Soils</t>
  </si>
  <si>
    <t>Penelitian Dasar Kompetitif Nasional</t>
  </si>
  <si>
    <t>Bantuan Pemberdayaan Sosial Berupa Pengelolaan Pupuk Organik di Kabupaten Grobogan</t>
  </si>
  <si>
    <t>Kemensos</t>
  </si>
  <si>
    <t>Program Matching Fund Gelombang 3 Tahun 2023 Batch 1</t>
  </si>
  <si>
    <t>Skema RKD Tahun 2022 Batch 1 (Skema RKD) (SIMLITABMAS) : "Development of Machine Learning and Remote Sensing-based Water Management Platform for Sustainable Agriculture in Asian Deltas"</t>
  </si>
  <si>
    <t>STRATEGIS PENGEIOLAAN BANJIR NASIONAL</t>
  </si>
  <si>
    <t>Dr. Ir. Moh. Yanuar J Purwanto, MS., IPU</t>
  </si>
  <si>
    <t>Penerapan Teknologi Plasma Finebubble Untuk Pengolahan Air Limbah Tambak Udang</t>
  </si>
  <si>
    <t>Prof. Dr. Ir. Yohanes Aris Purwanto, M.Sc.</t>
  </si>
  <si>
    <t>Matching Fund Kemendikbud ristekdikti</t>
  </si>
  <si>
    <t>Rancangan Model Rumah Ramah Gizi dan Sanitasi sebagai Upaya Strategis Pencegahan Stunting pada Balita</t>
  </si>
  <si>
    <t>Dr. Tria Astika Endah Permatasari, SKM.MKM</t>
  </si>
  <si>
    <t>Penelitian Dasar Unggulan Perguruan Tinggi</t>
  </si>
  <si>
    <t>Kenyamanan ruang pada bangunan ibadah</t>
  </si>
  <si>
    <t>Dr. Yudi Chadirin, STP.,M.Agr</t>
  </si>
  <si>
    <t>Asesmen Greenbuilding pada gedung delta Sekolah Vokasi IPB</t>
  </si>
  <si>
    <t>Pengembangan SmartEvaporative Irrigation untuk Pertanian Presisi yang Ramah Lingkungan Berbasis Kecerdasan Buatan</t>
  </si>
  <si>
    <t>CHUSNUL ARIF
S.TP, M.Si, Ph.D</t>
  </si>
  <si>
    <t>Development of machine learning and remote sensing-based water management platform for sustainable agriculture in Asian deltas</t>
  </si>
  <si>
    <t>Prof. Dr. Ir. Budi Indra Setiawan, M.Agr</t>
  </si>
  <si>
    <t>Pengembangan Sistem Tata Air Sawah yang Ramah Lingkungan dengan Teknologi Drainase Bawah Permukaan Shitepipe</t>
  </si>
  <si>
    <t>Dr. Satyanto Krido Saptomo, STP.,M.Si</t>
  </si>
  <si>
    <t>PEMANTAUAN DAN PENGUKURAN IRIGASI DI SULAWESI SELATAN</t>
  </si>
  <si>
    <t>Sumber Pembiayaan</t>
  </si>
  <si>
    <t>Jumlah Judul Penelitian</t>
  </si>
  <si>
    <t>Jumlah</t>
  </si>
  <si>
    <t>2022</t>
  </si>
  <si>
    <t>2023</t>
  </si>
  <si>
    <t>2024</t>
  </si>
  <si>
    <t>Evaluasi Kesepadanan antara Kedelai Lokal Grobogan dengan Kedelai Impor Transgenik dan Non-transgenik, serta Dampak Konsumsinya Melalui Uji Subkronik pada Tikus Percobaan</t>
  </si>
  <si>
    <t>Made Astawan</t>
  </si>
  <si>
    <t>Perguruan Tinggi</t>
  </si>
  <si>
    <t>Zaid Abdurrasyid (S3)</t>
  </si>
  <si>
    <t>Teknik Pembuatan Isolat Protein Tempe dari Kedelai Grobogan, Analisis Sifat Fisiko-Kimia, dan Aplikasinya sebagai Pangan Fungsional Pencegah Diabetes Melitus</t>
  </si>
  <si>
    <t>Nikita Arsy (S1)
Alifah Nur Aini (S1)</t>
  </si>
  <si>
    <t>a) Perguruan tinggi
b) Mandiri</t>
  </si>
  <si>
    <t>Bioprospecting of Antidiabetic and Immunomodulator Food ingredients Using Multi-Platform Metabolomics</t>
  </si>
  <si>
    <t>Nancy Dewi Yuliana</t>
  </si>
  <si>
    <t>tidak ada data</t>
  </si>
  <si>
    <t>Lembaga dalam negeri (diluar PT)</t>
  </si>
  <si>
    <t>Aplikasi Volatilomik untuk Autentikasi Kehalalan Produk Daging Olahan</t>
  </si>
  <si>
    <t xml:space="preserve">Lia Amalia  (F261170081)
Agy Wirabudi Pranata  (F251180691)
</t>
  </si>
  <si>
    <t>Lembaga luar negeri</t>
  </si>
  <si>
    <t>Pemetaan Karakteristik Penanda Autentikasi Kopi (Robusta, Arabika, Liberika dan Ekselsa) Indonesia Sebagai Produk Strategis Unggulan Daerah</t>
  </si>
  <si>
    <t>Nuri Andarwulan</t>
  </si>
  <si>
    <t>-</t>
  </si>
  <si>
    <t>Produksi dan Karakterisasi Peptida Aktif Tempe dengan Teknologi Membran sebagai Ingridien Pangan Fungsional</t>
  </si>
  <si>
    <t>Azis Boing Sitanggang</t>
  </si>
  <si>
    <t xml:space="preserve">tidak ada </t>
  </si>
  <si>
    <t>Kajian Keberadaan Peptida Berasa Umami yang Diperoleh Dari Produk Rusip Hasil Fermentasi Ikan Teri</t>
  </si>
  <si>
    <t>Hanifah Nuryani Lioe</t>
  </si>
  <si>
    <t>Lutfi Yulmiftiyanto N (S2)</t>
  </si>
  <si>
    <t>Kajian Sifat Fungsional Bakteri Asam Laktat Asal Pangan Fermentasi Untuk Pengembangan Pangan Fungsional</t>
  </si>
  <si>
    <t>Lilis Nuraida</t>
  </si>
  <si>
    <t>Produksi Kontinu dari Peptida Fungsional Tempe Koro Benguk dan Senyawa AntiParkinson L-3, 4-dihydroxyphenylalanine (L-dopa)</t>
  </si>
  <si>
    <t>Komponen Bioaktif Tanaman Indigenos Indonesia sebagai Sumber Antioksidan untuk Kesehatan Usus Besar</t>
  </si>
  <si>
    <t>Diny Agustini Sandrasari  F261170091
PMDSU</t>
  </si>
  <si>
    <t>Peningkatan Stabilitas Minyak Sawit Merah melalui Sistem Nanoemulsi</t>
  </si>
  <si>
    <t>Purwiyatno Hariyadi</t>
  </si>
  <si>
    <t>Karsi Ambarwati F251180628
PMDSU</t>
  </si>
  <si>
    <t>Dana Penelitian</t>
  </si>
  <si>
    <t>Produksi Selo-Oligosakarida dari Kulit Umbi Singkong sebagai Prebiotik dengan Hidrolisis Enzimatis</t>
  </si>
  <si>
    <t>Slamet Budijanto</t>
  </si>
  <si>
    <t xml:space="preserve">Ilham Marvie </t>
  </si>
  <si>
    <t>Karakterisasi Faktor yang Mempengaruhi Produksi Antioksidan oleh Bakteri Asam Laktat Lokal Pada Susu Fermentasi</t>
  </si>
  <si>
    <t>PMDSU (tidak ada mahasiswa)</t>
  </si>
  <si>
    <t>Keragaman Mikroflora Ikan Fermentasi Pado</t>
  </si>
  <si>
    <t>Harsi Dewantari Kusumaningrum</t>
  </si>
  <si>
    <t>Potensi dan Identifikasi Senyawa Antikapang Ekstrak Kasar Daging Biji Picung</t>
  </si>
  <si>
    <t>Upaya Penurunan Rasa Pahit Biji Kelor (Moringa oleifera) untuk Meningkatkan Potensinya sebagai Pangan Hipokolesterolemia</t>
  </si>
  <si>
    <t>Endang Prangdimurti</t>
  </si>
  <si>
    <t>Iqbal Fanani (S2)</t>
  </si>
  <si>
    <t>Rancang Bangun Reaktor Perendaman Berbasis Teknologi Membran dan Aplikasinya dalam Produksi Germinated Brown Rice Berbasis Padi Varietas Lokal</t>
  </si>
  <si>
    <t>Total</t>
  </si>
  <si>
    <t>Kombinasi Lactobacillus kefiri JK17 dengan Prebiotik untuk Menurunkan Kolesterol Tikus yang Diberi Diet Tinggi Kolesterol</t>
  </si>
  <si>
    <t>Kombinasi Perlakuan Pulsed Electric Field (PEF) dan Termal terhadap Inaktivasi Bakteri Target pada Susu Rekombinasi</t>
  </si>
  <si>
    <t>Eko Hari Purnomo</t>
  </si>
  <si>
    <t>Uray Ulfah Nabilah (S3)</t>
  </si>
  <si>
    <t>Potensi Tepung Tempe Gembus dan Oncom Merah dalam Mengurangi Risiko Diabetes Melitus</t>
  </si>
  <si>
    <t>Potensi Tempe sebagai Pangan Fungsional Hipoglikemik: Pengaruh Perbedaan Waktu Fermentasi dan Germinasi Biji Kedelai</t>
  </si>
  <si>
    <t>Produksi Folat oleh Bakteri Asam Laktat Lokal pada Fermentasi Susu dan Identifikasi Gen Penyandi Biosintesisnya</t>
  </si>
  <si>
    <t>Gel Polisakarida Kulit Durian sebagai Bahan Edible Coating Antimikroba pada Buah Kupas</t>
  </si>
  <si>
    <t>Aktinomisetes Indegenus yang Berasosiasi dengan Ikan Bandeng dan Ikan Belanak sebagai Sumber Antimikroba Produk Perikanan</t>
  </si>
  <si>
    <t>Eksplorasi senyawa bioaktif limbah ikan cakalang sebagai senyawa atraktif perangkap serangga alami ramah pangan</t>
  </si>
  <si>
    <t>PMDSU (-)</t>
  </si>
  <si>
    <t>Evaluate Effect of Different Kind of Flour/Modified Starch Toward Physical and Sensory Characteristic in Flour Seasoning</t>
  </si>
  <si>
    <t>Dalam Negeri</t>
  </si>
  <si>
    <t>Hulwatul Iffah (S1)</t>
  </si>
  <si>
    <t>Evaluate Physical and Sensory Characteristic of Flour Seasoning in Market Product</t>
  </si>
  <si>
    <t>Dellia Shanie (S1)</t>
  </si>
  <si>
    <t>Thickener (Emulsifier Type) to Replace Egg Yolk Function for Mayonaise/Salad Dressing Product</t>
  </si>
  <si>
    <t>Rizka Putri Utami (S1)</t>
  </si>
  <si>
    <t>Evaluate Effect of Different Type of Modified Starch (Source and INS Number) Toward Product Quality (Dressing)</t>
  </si>
  <si>
    <t>Luar Negeri</t>
  </si>
  <si>
    <t>Garda Bramantyo (S1)</t>
  </si>
  <si>
    <t>Investigation of Bioactive Compounds in Brewed Dark Roasted Coffee Bean Capable of Suppressing Postprandial Glucose Elevation</t>
  </si>
  <si>
    <t>Dian Herawati</t>
  </si>
  <si>
    <t>Elsera Br. Tarigan (S1)</t>
  </si>
  <si>
    <t>Kerjasama Pelaksanaan Kegiatan Penelitian dan Beras Fortifikasi</t>
  </si>
  <si>
    <t>tidak ada</t>
  </si>
  <si>
    <t>Identifikasi Komposisi Minyak/lemak Penyusun Produk Butter Blends</t>
  </si>
  <si>
    <t>Scientific Opinion of Use of Pea Protein in Formula Intended for Young Children</t>
  </si>
  <si>
    <t>Puspo Edi Giriwono</t>
  </si>
  <si>
    <t>Produksi Bersih Pengolahan Jahe Merah</t>
  </si>
  <si>
    <t xml:space="preserve">Althaf Demiandra Akbar (S1),Fernaldy Manuel Alkuin </t>
  </si>
  <si>
    <t>Autentikasi Kehalalan Produk Olahan Daging Dengan Metode Volatilomik</t>
  </si>
  <si>
    <t>Dias Indrasti</t>
  </si>
  <si>
    <t>tidak ada mahasiswa</t>
  </si>
  <si>
    <t>Pengembangan Nasi Liwet Dlm Kemasan Retort Pouch, Dengan Sterilisasi
 Panci Presto</t>
  </si>
  <si>
    <t>Subarna</t>
  </si>
  <si>
    <t>Sintesis kontinyu ester sinamat dalam sistem bebas pelarut (free-solvent-system) menggunakan reaktor membran enzimatis</t>
  </si>
  <si>
    <t>Helena Listiarini	F24180006</t>
  </si>
  <si>
    <t>Pelestarian dan Pendayagunaan Potensi Kimiawi Sumber Daya Alam Lokal Indonesia dalam Pengembangan Pangan Fungsional dan Ingredien Pangan Alami Seri-6</t>
  </si>
  <si>
    <t>C. Hanny Wijaya</t>
  </si>
  <si>
    <t>(1 mahasiswa)</t>
  </si>
  <si>
    <t>Karakteristik Tepung Singkong Dari Beberapa Metode Modifikasi Dan
 Potensinya Menjadi Mie Singkong</t>
  </si>
  <si>
    <t>Tjahja Muhandri</t>
  </si>
  <si>
    <t>Buah-Buahan Tropis Indonesia Bebas Kapang Toksigen Dan Patulin</t>
  </si>
  <si>
    <t>Winiati Pudji Rahayu</t>
  </si>
  <si>
    <t>Karakterisasi Gum/Hidrokoloid Asal Biji Selasih (Ocimum basilicum L) dan Potensinya sebagai Ingredient Fungsional untuk Produk Pangan Sehat</t>
  </si>
  <si>
    <t>Dede R. Adawiyah</t>
  </si>
  <si>
    <t>S2 (Inez)</t>
  </si>
  <si>
    <t>Pangan Instan dengan Indeks Glikemik (IG) Rendah Berbasis Sumber Karbohidrat Lokal sebagai Pangan Fungsional</t>
  </si>
  <si>
    <t>Didah Nur Faridah</t>
  </si>
  <si>
    <t>Maria Putri Anugerah (F251190261); Rhoito Frista Silitonga (F251190171); Sanaz Damaiyanti (F251190251); Evan Daniels (F24180074); Alifah Rahmi (F24180043); Habibah Ring Yang (F24180063)</t>
  </si>
  <si>
    <t>Fermentasi Laktat untuk Meningkatkan Kapasitas Antioksidan Sari Kedelai Tergerminasi</t>
  </si>
  <si>
    <t>Isti Damayanti (S1)</t>
  </si>
  <si>
    <t>Perbaikan Teknologi Pembuatan Isolat Protein Tempe untuk Peningkatan Kadar Protein dan Sifat-sifat Fungsionalnya</t>
  </si>
  <si>
    <t>Ayu Putri Gitanjali Prayudani	F251190646</t>
  </si>
  <si>
    <t>Zaid Abdurrasyid	F261190168</t>
  </si>
  <si>
    <t>Potensi Hipoglikemik Daun Melastoma malabathricum L. Sebagai minuman fungsional dalam Penccegahan Penyakit Diabetes Mellitus</t>
  </si>
  <si>
    <t>Nurheni Sri Palupi</t>
  </si>
  <si>
    <t>Oke Anindita (S3)</t>
  </si>
  <si>
    <t>Aktifitas Antidiabetik Komponen Bioaktif Fuli Pala (Myristica fragrans Houtt) pada Tikus Model Diabetes Melitus: Studi in-Vitro</t>
  </si>
  <si>
    <t>Karakterisasi Genetik dan Prediksi Model Pertumbuhan Isolat Lokal Bacillus cereus unuk Pengembangan Metode Deteksinya dalam Pangan</t>
  </si>
  <si>
    <t>Ratih Dewanti Hariyadi</t>
  </si>
  <si>
    <t>Lya Heldya Maryssa Manulang (S1)</t>
  </si>
  <si>
    <t>Prevalensi dan Profiling Cemaran Salmonella pada Karkas Ayam Serta Identifikasi Titik Kendali Kritis di Rantai Proses Sebagai Upaya Pengendaliannya</t>
  </si>
  <si>
    <t>Siti Nurjanah</t>
  </si>
  <si>
    <t>Rahadina (S2), Ni Gusti Ayu Made W, STP (S2), Mareta (S1), Susi (S1), Abdurrahman (S1), Andrew Chanson (S1), Stephen (S1), Vella (S1)</t>
  </si>
  <si>
    <t>Peningkatan Sifat Fungsional Produk Turunan Tempe melalui Reaksi Maillard</t>
  </si>
  <si>
    <t>Yusuf Noer (S1), Sobbi (S1)</t>
  </si>
  <si>
    <t>Produksi selektif peptida bioaktif dari kacang-kacangan : Kombinasi perlakuan fermentasi dan hidrolisis enzimatis pada bioreaktor membran</t>
  </si>
  <si>
    <t>Celia (S1), Kiwinta (S1)</t>
  </si>
  <si>
    <t>Pemberdayaan Potensi Buah Andaliman (Zanthoxylum acanthopodium Dc.) sebagai Flavor Fungsional</t>
  </si>
  <si>
    <t>S1 : (2 mahasiswa)</t>
  </si>
  <si>
    <t>Metabolomik Rempah Minor Indonesia (Zingiberaceae) dan Potensinya sebagai Ingredien Fungsional</t>
  </si>
  <si>
    <t>Ani (S2), Dian (S2)</t>
  </si>
  <si>
    <t>Karakterisasi Fisiko-Kimia Tepung dan Mi Singkong yang Berasal
dari Kalimantan dan Bogor</t>
  </si>
  <si>
    <t>Dewi F (S1)</t>
  </si>
  <si>
    <t>Kajian Proses Penggorengan Terhadap Karakteristik Keripik Simulasi
Ubi Jalar Ungu (Ipomoea batatas L.)</t>
  </si>
  <si>
    <t>Faleh Setia Budi</t>
  </si>
  <si>
    <t>Rania Qatrunnada (S1), James (S1)</t>
  </si>
  <si>
    <t>Aplikasi Edible Coating dari Kolang-Kaling untuk Memperpanjang
Umur Simpan Buah Mentimun</t>
  </si>
  <si>
    <t>Sarah Salsabila Permana (S1)</t>
  </si>
  <si>
    <t>Peptida Bioaktif Bersifat Antioksidan Dari Tempe Koro Benguk: Desain Reaktor Sintesis, Produksi Kontinu Dan Karakterisasi Aktivitas Biologisnya</t>
  </si>
  <si>
    <t>Proses Pembuatan Keripik Simulasi Ubu Jalar Dengan Teknologi Ekstrusi</t>
  </si>
  <si>
    <t>Pengaruh Blansir Dan Tween 80 Pada Pengeringan Busa Terhadap Karakteristik Serbuk Seledri</t>
  </si>
  <si>
    <t>Assessment Of Compliance With Indonesian Ecolabeling Regulations: Case
 Study In Beverage Products With Semi-Rigid Plastic Packaging</t>
  </si>
  <si>
    <t>Nugraha Edhi Suyatma</t>
  </si>
  <si>
    <t>Bionanokomposit Film Dengan Nanopartikel Zno Sebagai Filler: Kajian
 Meta-Analisis</t>
  </si>
  <si>
    <t>Perilaku Bacillus cereus dan Pengaruh Pemanasan Microwave terhadap Spora Bacillus cereus pada Rendang</t>
  </si>
  <si>
    <t>Ratih Dewanti</t>
  </si>
  <si>
    <t xml:space="preserve">Maisharah Fadhina	F2501202045	
</t>
  </si>
  <si>
    <t>Pengembangan Produk Olahan Ikan dan Kerang-Kerangan Hipoalergenik dalam Rangka Penyediaan Pangan bagi Penderita Alergi</t>
  </si>
  <si>
    <t>Nur Lili Nia Wulan        F2501201023        
Vina Giovani        F2501201002        
Afif Arwani        F251180531</t>
  </si>
  <si>
    <t>Prevalensi dan Profiling Cemaran Salmonella Pada Karkas Ayam serta Identifikasi Titik Kendali Kritis di Rantai Proses Sebagai Upaya Pengendalian</t>
  </si>
  <si>
    <t>Fika (A1), Rina (S1), Lutfy Amalia (S1)</t>
  </si>
  <si>
    <t xml:space="preserve">Analisis kecukupan panas untuk penelitian Pengembangan produk olahan daging yang aman dalam kemasan fleksibel dengan sterilisasi komersial menggunakan panci presto di UMKM </t>
  </si>
  <si>
    <t>S1: 4 (William, Nur Aulia Setiani, Annisa Dhabita, bimbingan Bu Winny)</t>
  </si>
  <si>
    <t>Pangan Instan dengan Indeks Glikemik (IG) Rendah Berbasis Sumber Karbohidrat Lokal Sebagai Pangan Fungsional</t>
  </si>
  <si>
    <t>S2 : 3
S1 : 3 (Hedarullah)</t>
  </si>
  <si>
    <t>Aplikasi Next Generation Sequencing (Ngs) Dalam Evaluasi Keragaman Mikoorganisme Dalam Fermentasi Tauco</t>
  </si>
  <si>
    <t>Seveline (F261190021)</t>
  </si>
  <si>
    <t>Metabolomics Approach using LC-MS/MS and NMR  Spectroscopy Combined with Chemometrics for Halal Authentication of Food Products.
Sub judul Volatilomics Fingerprinting Approach in Combination with Chemometrics Applied for Authentication of Halal Food Product</t>
  </si>
  <si>
    <t>Muthia Kautsar Rusydah (F24188008)</t>
  </si>
  <si>
    <t>Evaluasi Sensori Teh Putih (Camellia Sinensis L.) Menggunakan Metode Cata, Jar, Emotional Mapping, Turf dan Kando Berbasis Panelis Konsumen – Smart Sensory 4.0 Program</t>
  </si>
  <si>
    <t>Dase Hunaefi</t>
  </si>
  <si>
    <t>Firman Hadiansyah (F2501211011), Muhammad Aureli Azhim (F24198002)</t>
  </si>
  <si>
    <t>Teknologi Produksi Tempe Koro Benguk dan Aplikasinya sebagai Sumber L-DOPA untuk Mencegah Parkinson dan Meningkatkan Daya Kognitif</t>
  </si>
  <si>
    <t>Muhammad Ariq Faishal (F24190039), Nur Ghaffar</t>
  </si>
  <si>
    <t>Eksplorasi Senyawa Umami pada Produk Fermentasi Kedelai: Studi pada Tauco</t>
  </si>
  <si>
    <t>Vika Tresnadiana Herlina (F2601201010)</t>
  </si>
  <si>
    <t>Aplikasi teknologi Pulsed-Electric-Field dalam pengendalian bakteri perusak halofilik dan pengaruhnya terhadap sifat fisiko-kimia cumi asin</t>
  </si>
  <si>
    <t>Arry Darmawan (F2601212022)</t>
  </si>
  <si>
    <t>Stabilitas Fenolik Sebagai Pengawet Minuman Teh dan Kopi dalam Kemasan dengan Teknologi Hot Filling</t>
  </si>
  <si>
    <t>Anna Abdilla (F2501211041), Christophorus Davin (F24190013)</t>
  </si>
  <si>
    <t>Metode Deteksi Adulterasi Minyak Nabati dan Minyak Hewani Berbasis FTIR, SPME-GC/MS, dan Kemometrik</t>
  </si>
  <si>
    <t>Silmiyah Putri (F2501212045)</t>
  </si>
  <si>
    <t>Optimasi Formula pada Pengembangan Pangan Fungsional Serbuk Minuman Berbasis Tepung Tempe</t>
  </si>
  <si>
    <t>Sulaiman Akbar Mahdi (F2501202035)</t>
  </si>
  <si>
    <t>Autentikasi Gelatin Babi di Dalam Produk Pangan Menggunakan LC-MS/MS Untuk Deteksi Halal</t>
  </si>
  <si>
    <t>Feri Kusnandar</t>
  </si>
  <si>
    <t>Kifayati Rosiyanti Dewi (F2501201027)</t>
  </si>
  <si>
    <t>Fermentasi Laktat Untuk Meningkatkan Kapasitas Antioksidan Sari Kedelai Tergerminasi</t>
  </si>
  <si>
    <t>Hendry Noer Fadlillah Stp, Mp. (F261190131)</t>
  </si>
  <si>
    <t>Bioaksesibilitas Antioksidan Minuman Wedang Uwuh Melalui Pencernaan In Vitro</t>
  </si>
  <si>
    <t>Ika Nuriyana Fauziah (F2501201026)</t>
  </si>
  <si>
    <t>Peningkatan Produksi Gamma Amino Butyric Acid (GABA) Oleh Bakteri Asam Laktat Asal Pangan Fermentasi Untuk Pengembangan Pangan Fermentasi Fungsional</t>
  </si>
  <si>
    <t>LIlis Nuraida</t>
  </si>
  <si>
    <t>Setiawan Wicaksono (F2501201010)</t>
  </si>
  <si>
    <t>Produksi dan karakterisasi enzim α-amilase dari substrat limbah kulit buah lokal</t>
  </si>
  <si>
    <t>Nurul Wakiah (F2501201015)</t>
  </si>
  <si>
    <t>Meta Analisis Pengaruh Senyawa Polifenol terhadap Kesehatan Usus Besar Mikrobiota dan Asam Lemak Rantai Pendek (SCFA)</t>
  </si>
  <si>
    <t>Diny Agustini Sandrasari (F261170091)</t>
  </si>
  <si>
    <t>Kajian Literatur Teknologi Pengolahan Mi Non Terigu</t>
  </si>
  <si>
    <t>Wanda Hikmah Permana (F24160139)</t>
  </si>
  <si>
    <t>Systematic Literature Review Pemanfaatan Dedaunan sebagai Bahan Pangan dalam Meningkatkan Imunitas</t>
  </si>
  <si>
    <t>Sri Elvina Sari Pinem (F24150110)</t>
  </si>
  <si>
    <t>Perbaikan Proses Produksi Isolat Protein Tempe untuk Peningkatan Kadar Protein dan Sifat-sifat Fungsionalnya</t>
  </si>
  <si>
    <t>Elvira Syamsir</t>
  </si>
  <si>
    <t>Ayu Putri Gitanjali Prayudani (F251190646)</t>
  </si>
  <si>
    <t>Pengeringan Cabai Merah (Capsicum annuum L.) dengan Kombinasi Oven Microwave dan Kipas Angin</t>
  </si>
  <si>
    <t>Zhofran Murtadho (F24160009)</t>
  </si>
  <si>
    <t xml:space="preserve">Sensory Customer Satisfaction Evaluation of Commercial SaltyCrackers Through CATA, Kano, and TURF Methods  </t>
  </si>
  <si>
    <t>Mutiara Siska Putri Utami (F24188009)</t>
  </si>
  <si>
    <t>kalau Penelitian BIMA masuknya kategori apa:
Perguruan tinggi bukan ya</t>
  </si>
  <si>
    <t>Kepedulian Konsumen Terhadap Label Halal Dalam Melakukan Pembelian Produk Pangan Secara Online Di Jabodetabek</t>
  </si>
  <si>
    <t>Muhammad Noufan Aldo (F24180021)</t>
  </si>
  <si>
    <t xml:space="preserve">Kajian Literatur : Pengaruh Penyimpanan terhadap Reologi Susu Kental Manis	  </t>
  </si>
  <si>
    <t>Shafwah Muthmainnah (F24160053)</t>
  </si>
  <si>
    <t xml:space="preserve">PPS-PTM </t>
  </si>
  <si>
    <t xml:space="preserve">Analisis Atribut Mutu Menggunakan Klasifikasi Caswell pada Produk Kecap Manis </t>
  </si>
  <si>
    <t>Muhammad Arpah</t>
  </si>
  <si>
    <t>Alma Sabrina Purnama (F24180054)</t>
  </si>
  <si>
    <t>PKDN (PENELITIAN KERJASAMA DALAM NEGERI)</t>
  </si>
  <si>
    <t xml:space="preserve">Kajian Pustaka Ekstraksi Antosianin pada Bunga Telang(Clitoria ternatea) sebagai Antioksidan dan Potensi Aplikasinya  </t>
  </si>
  <si>
    <t>Intan Nurlinawati (F24170052)</t>
  </si>
  <si>
    <t>PPS-PTM</t>
  </si>
  <si>
    <t>Hidrolisis Enzimatis Gelatin Ikan Laut dalam Menghasilkan Peptida Penghambat Ace: Meta-analisis</t>
  </si>
  <si>
    <t>Sukarno</t>
  </si>
  <si>
    <t>Ahmad (F251180541)</t>
  </si>
  <si>
    <t>PPS-PDD</t>
  </si>
  <si>
    <t xml:space="preserve">Analisis Penerapan CPPOB dan SSOP Produk Rendang Sapi  yang Disterilisasi Komersial Serta Penyusunan Rencana HACCP di CV XYZ </t>
  </si>
  <si>
    <t>Alvin Kusuma Bakri (F24180093)</t>
  </si>
  <si>
    <t>Systematic Review on Volatile Profile Compound and Its     Application in Species Identification for Halal Authentication</t>
  </si>
  <si>
    <t>Siti Hanifah Rifan Ramadhina (: F24188012)</t>
  </si>
  <si>
    <t>PFR</t>
  </si>
  <si>
    <t xml:space="preserve">Evaluasi dan Pemodelan Kecukupan Proses Termal pada Sterilisasi Produk Jamur dalam Kaleng di PT XYZ  </t>
  </si>
  <si>
    <t>Huda Hainun Dafiq (F24170026)</t>
  </si>
  <si>
    <t xml:space="preserve">Evaluasi Penerapan Sertifikat Kelayakan Pengolahan padaProduksi Otak-otak Ikan di UMKM Eltisyah Makassar  </t>
  </si>
  <si>
    <t>Sugiyono</t>
  </si>
  <si>
    <t>Muhammad Zaki Maarif Firman (F24180109)</t>
  </si>
  <si>
    <t xml:space="preserve">PPS-PDD </t>
  </si>
  <si>
    <t>Karakteristik Fisiko-kimia dan Profil Sensori Minuman Telang Lemon dengan Popping Boba di PT XYZ</t>
  </si>
  <si>
    <t>Sedarnawati Yasni</t>
  </si>
  <si>
    <t>Selma Aprilla Kardinan (F24180048)</t>
  </si>
  <si>
    <t xml:space="preserve">Kesesuaian Label Kemasan Produk Makanan Ringan Siap Santap dengan Peraturan Badan POM Nomor 31 Tahun 2018
Tentang Label Pangan Olahan
</t>
  </si>
  <si>
    <t>Almalina Nurachman (F24160078)</t>
  </si>
  <si>
    <t xml:space="preserve">Pengendalian Berat Bahan Baku Wedang Uwuh dengan Metode Statistical Process Control di CV. Salama Nusantara,
Kulon Progo, DIY
</t>
  </si>
  <si>
    <t>Muhammad Aushol Amri (F24180004)</t>
  </si>
  <si>
    <t>Penelitian Dosen Muda - Kompetitif</t>
  </si>
  <si>
    <t xml:space="preserve">Optimasi Proses Pengolahan Serbuk Minuman Jahe Lemon
	  sebagai Produk Berorientasi Ekspor
</t>
  </si>
  <si>
    <t>Kelvin Wahyudi (F24180013)</t>
  </si>
  <si>
    <t>PDUPT - Kompetitif</t>
  </si>
  <si>
    <t xml:space="preserve">Pola dan Persepsi Konsumen terhadap Keputusan Pembelian 
serta Loyalitas Konsumen pada Produk Minuman Susu di
Jabodetabek
</t>
  </si>
  <si>
    <t>Muhammad Farhan Hendratno (F24180121)</t>
  </si>
  <si>
    <t>PTUPT</t>
  </si>
  <si>
    <t xml:space="preserve">Pembuatan Brownies Non Gluten dan Diversifikasinya dengan 
Citarasa Rempah
</t>
  </si>
  <si>
    <t>Salahuddin Santoaji Priatmojo (F24150117)</t>
  </si>
  <si>
    <t xml:space="preserve">QUALITY CONTROL ANALYSIS TO ACHIEVE 
	PRODUCT QUALITY STANDARDS FOR BUTTER 
	COOKIES AT PT. XYZ
</t>
  </si>
  <si>
    <t>Muhammad Abdurrahman Raihan Suhendar (F24188015)</t>
  </si>
  <si>
    <t>Pengaruh Isu Lingkungan Kemasan Plastik terhadap   Keputusan Pembelian Produk Air Minum dalam Kemasan (AMDK) di Wilayah Provinsi DKI Jakarta</t>
  </si>
  <si>
    <t>Joko Hermanianto</t>
  </si>
  <si>
    <t>Faathimah Hasnaauljannah Nuwruwuddinaa</t>
  </si>
  <si>
    <t xml:space="preserve">Pemetaan Preferensi Konsumen terhadap Mi Instan: Studi 
Kasus Indomie
</t>
  </si>
  <si>
    <t>Fahim M. Taqi</t>
  </si>
  <si>
    <t>Mutia Khaerunnisa (F24180056)</t>
  </si>
  <si>
    <t xml:space="preserve">Pendugaan Umur Simpan dan Proses Registrasi Produk 
Ekstrak Propolis Cair Lebah Trigona Laeviceps
</t>
  </si>
  <si>
    <t>Ajeng Noviliandari (F24180049)</t>
  </si>
  <si>
    <t>Sarjana</t>
  </si>
  <si>
    <t>Penelitian (TA)</t>
  </si>
  <si>
    <t xml:space="preserve">Evaluasi Profil Sensori Produk Coconut Yogurt Chocolate PT 
XYZ Menggunakan Metode Check-All-That-Apply (CATA
</t>
  </si>
  <si>
    <t>Ferra Dwi Lestari (F24180111)</t>
  </si>
  <si>
    <t>Magister</t>
  </si>
  <si>
    <t xml:space="preserve">Pemanfaatan Produk Samping Moromi Sebagai Bahan Baku
Tambahan pada Produksi Sari Kecap di PT XYZ
</t>
  </si>
  <si>
    <t>Marco Delvechia (F24180025)</t>
  </si>
  <si>
    <t xml:space="preserve">Pola Konsumsi Olahan Talas dan Kontribusinya terhadap 
Asupan Karbohidrat di Indonesia
</t>
  </si>
  <si>
    <t>Dinda Handayani (F24180027)</t>
  </si>
  <si>
    <t xml:space="preserve">Persepsi Konsumen Mengenai Label Pangan serta
Penggunaan Bahan Tambahan Pangan pada Kemasan Siap Minum di DKI Jakarta
</t>
  </si>
  <si>
    <t>Agung Muhajir (F24180034)</t>
  </si>
  <si>
    <t xml:space="preserve">Penyusunan Dokumen HACCP pada Produk Sosis Ayam 
	  Selongsong Selulosa di PT XYZ
</t>
  </si>
  <si>
    <t>Syarifah Shofi Azmidhiya (F24180084)</t>
  </si>
  <si>
    <t xml:space="preserve">Evaluasi Penerapan GMP dan Peluang Cross Contamination 
Area Packing pada Produksi Sosis Ayam di PT XYZ
</t>
  </si>
  <si>
    <t>Maghfirah Amanina (F24180051)</t>
  </si>
  <si>
    <t>Kajian Konsumsi Olahan Pisang serta Kontribusinya dalam Memenuhi Angka Kecukupan Karbohidrat di Indonesia</t>
  </si>
  <si>
    <t>Riza Amri Azizah (F24180022)</t>
  </si>
  <si>
    <t>PT Sasa Inti</t>
  </si>
  <si>
    <t xml:space="preserve">Analisis Kuantitatif Bahan Kemasan dan Potensi Migrasinya
pada Produk Pangan yang Beredar di Indonesia
</t>
  </si>
  <si>
    <t>Choirunnisa Ambarwati (F251170221)</t>
  </si>
  <si>
    <t>PT PG Rajawali I</t>
  </si>
  <si>
    <t xml:space="preserve">Pengaruh Kemasan dan Suhu Serta Uji Stabilitas
Penyimpanan Antioksidan Mikroenkapsulat Bunga Telang
</t>
  </si>
  <si>
    <t>Budi Nurtama</t>
  </si>
  <si>
    <t>Syafa Hanifa (F24180091)</t>
  </si>
  <si>
    <t>BPOM</t>
  </si>
  <si>
    <t xml:space="preserve">Analisis Atribut Mutu pada Produk Yoghurt dalam Kemasan
Menggunakan Klasifikasi Caswell
</t>
  </si>
  <si>
    <t>Adli Hadyan Al Wafi (F24180017)</t>
  </si>
  <si>
    <t>PT Kapal Api</t>
  </si>
  <si>
    <t>Optimasi Penurunan Kadar Oksalat pada Tepung Bulbil Kathak Porang (Amorphophallus sp.) melalui Perendaman dalam Larutan NaHCO3 Hangat</t>
  </si>
  <si>
    <t>Hanifa Dermawan (F24180104)</t>
  </si>
  <si>
    <t xml:space="preserve">Risk Assessment of Inorganic Arsenic in Rice and Seafood 
among Office Workers at PT XYZ using Probabilistic Method
</t>
  </si>
  <si>
    <t>Hania Ariane (F24188006)</t>
  </si>
  <si>
    <t>PT Miswak Utama</t>
  </si>
  <si>
    <t xml:space="preserve">Analisis Halalan Thayibban Supply Chain dalam Penanganan
  Darah Hasil Penyembelihan Ternak dan Unggas untuk Pakan 
</t>
  </si>
  <si>
    <t>Ilham Maryuliano (F24180037)</t>
  </si>
  <si>
    <t>Persepsi Masyarakat terhadap Fungsi dan Pola penggunaan Monosodium Glutamat (MSG) di Wilayah Jabodetabek</t>
  </si>
  <si>
    <t>Ita Vera (F24180023)</t>
  </si>
  <si>
    <t>Survei Konsumen Persepsi Bubur Ayam yang Ideal</t>
  </si>
  <si>
    <t>Muhammad Agung Razak (F24160013)</t>
  </si>
  <si>
    <t>Pickering Emulsion (PE) Minyak Sawit Merah berbasis Partikel Nano Seng Oksida (Zno): Produksi dan Karakterisasi Kestabilan Emulsi dan Beta Karotennya</t>
  </si>
  <si>
    <t>AZIS BOING SITANGGANG</t>
  </si>
  <si>
    <t>David Augusta Chandra	(F24190015) S1
Helena Listiarini	  (F2501222051)	 S2</t>
  </si>
  <si>
    <t>Pengembangan Oncom dengan Kualitas Sensori, Gizi, dan Bioaktivitas Unggul : Penilaian Sensori dan Karakteristik Fisikokimia Oncom Merah dan Oncom Hitam Bogor</t>
  </si>
  <si>
    <t>Prof. Dr. Ir. C. Hanny Wijaya, M.Sc.</t>
  </si>
  <si>
    <t xml:space="preserve">Dwiarti Rachma Nuramalia (F2501202042) - S2	</t>
  </si>
  <si>
    <t>Presisi Pengemulsi Guna Memperoleh Cloudifier Minyak Buah
Merah Untuk Meningkatkan Kualitas Sensori dan Kapasitas
Antioksidan Minuman Fungsional Berbasis Kumis Kucing</t>
  </si>
  <si>
    <t>C HANNY WIJAYA</t>
  </si>
  <si>
    <t>Karakterisasi komponen bioaktif, zat gizi, sifat fungsional dan sensori kopi siap saji populer di Indonesia serta evaluasi manfaatnya untuk kesehatan</t>
  </si>
  <si>
    <t>Dr. Dian Herawati, S.T.P., M.Si.</t>
  </si>
  <si>
    <t>Lembaga Dalam Negeri</t>
  </si>
  <si>
    <t>Mochamad Savin Armawan F2401201007
Nadia Fitri F2501222022
EL SYIFA ANGGRAENI F2401201073
Fiham Afwan Mu'arij F2401201043
Nazwa Nurhaliza F2401201045</t>
  </si>
  <si>
    <t>Seleksi Kopi Arabika Indonesia Sebagai Ingredien Minuman Fungsional Tinggi Antioksidan</t>
  </si>
  <si>
    <t>DIAN HERAWATI</t>
  </si>
  <si>
    <t xml:space="preserve">Shalmy Nurma Melliyanti	 (F2501222046)	</t>
  </si>
  <si>
    <t>Eksplorasi Peptida Umami Dari Hidrolisat Rumput Laut Gracilaria sp.</t>
  </si>
  <si>
    <t xml:space="preserve">HANIFAH NURYANI LIOE </t>
  </si>
  <si>
    <t>Sukma Budi Prasetyati (F2601222021)</t>
  </si>
  <si>
    <t>Eksplorasi Senyawa Umami pada Produk Fermentasi Ikan: Studi Peptida Umami pada Rusip</t>
  </si>
  <si>
    <t xml:space="preserve">Vania Amelia (F2501212051)	</t>
  </si>
  <si>
    <t>Peptida Umami Asal Tauco: Isolasi Peptida Umami dan Sintesis Peptida Umami untuk Penentuan Umami Threshold beserta Aplikasi Peptida Umami untuk Produk Pangan</t>
  </si>
  <si>
    <t>SALSABILA SHAFA (F2501222058) - S2</t>
  </si>
  <si>
    <t>Bakteriosin dari Bakteri Asam Laktat asal Pado sebagai Biopreservatif Pangan</t>
  </si>
  <si>
    <t>HARSI DEWANTARI KUSUMANIN</t>
  </si>
  <si>
    <t>Nadiah Chalisya (F2501211025)</t>
  </si>
  <si>
    <t>Karakterisasi dan Pemanfaatan Tepung Buah Rumbia (Metroxylon sagu Rottb.) sebagai Sumber Prebiotik Indigenus kaya Antioksidan pada Pangan</t>
  </si>
  <si>
    <t>Reza Fadhilla	F2601202008 - S3</t>
  </si>
  <si>
    <t>Pemetaan Senyawa Antimikroba Bumbu Rendang terhadap Bakteri Patogen Pembentuk Spora dengan Pendekatan Metabolomik</t>
  </si>
  <si>
    <t>RATIH DEWANTI</t>
  </si>
  <si>
    <t>Rhema Nafiri Syalom (F2501211012) - S2</t>
  </si>
  <si>
    <t>Skrining Sifat Resistensi Antimikroba secara Fenotip dan Genotip Terhadap Isolat Lokal Bacillus cereus</t>
  </si>
  <si>
    <t xml:space="preserve">Izzadini Farhani 	(F2501211004)	</t>
  </si>
  <si>
    <t>PROFIL VOLATILOMIK PRODUK OLAHAN DAGING UNTUK AUTENTIKASI KEHALALAN</t>
  </si>
  <si>
    <t>Dr. Dias Indrasti, S.T.P., M.Sc.</t>
  </si>
  <si>
    <t>Pengaruh Jenis Snack Bar terhadap Tingkat Rasa Kenyang dan Penerimaan Sensori pada Kelompok Usia Dewasa Awal</t>
  </si>
  <si>
    <t>Prof. Dr. Ir. Made Astawan, M.S.</t>
  </si>
  <si>
    <t xml:space="preserve">Hanum Listyarani (F2502221011) - S2	</t>
  </si>
  <si>
    <t>Prof. Dr. Didah Nur Faridah, S.T.P., M.Si.</t>
  </si>
  <si>
    <t>Evan Daniels  (F2501222049) -S2
Fadlila Endyra (F2501212044 - S2</t>
  </si>
  <si>
    <t>Mewujudkan Ketersediaan Produk Pangan Intermediat dan Siap Santap Hipoalergenik Berbasis Komoditas Ikan dan Kekerangan Melalui Penerapan Teknologi Proses Pangan</t>
  </si>
  <si>
    <t>Prof. Dr. Ir. Nurheni Sri Palupi, M.Si.</t>
  </si>
  <si>
    <t>Vina Giovani	 (F2501201002)-S2
Nur Lili Nia Wulan	(F2501201023)-S2</t>
  </si>
  <si>
    <t>Metabolomics Approach Using LC-MS/MS Combined with Chemometrics and Real-Time PCR for Halal Authentication of Food and Pharmaceutical Products (SPME-GC/MS Based Volatilomics to differentiate pork- and chicken-based Urutan (Balinese traditional sausage) and pig- and cow skin cracker)</t>
  </si>
  <si>
    <t>Prof. Dr. Nancy Dewi Yuliana, S.T.P</t>
  </si>
  <si>
    <t xml:space="preserve">PUTU CISYA ANDRYANI (F2501222037)
Erlinda Damayanti (F2501222033	)	</t>
  </si>
  <si>
    <t>METABOLOMICS APPROACH TO REVEAL THE POTENTIAL OF INDONESIAN LOCAL EDIBLE MUSHROOMS AS SOURCES OF BIOACTIVE COMPOUND</t>
  </si>
  <si>
    <t>1	Adri Nora	F2601221016	
2	Donald John Calvien Hutabarat	F2601222020	
3	Stendy Nur Taufiq	F2401201066</t>
  </si>
  <si>
    <t>KOMBINASI CONTROLLED RELEASE ETHANOL EMITTER DAN CINNAMON OIL SEBAGAI KEMASAN AKTIF PRODUK ROTI</t>
  </si>
  <si>
    <t>Prof. Dr. Nugraha Edhi Suyatma, S.T.P., D.E.A</t>
  </si>
  <si>
    <t xml:space="preserve">Assya Shalita	F2501212046	</t>
  </si>
  <si>
    <t>Karakterisasi Profil Sensori dan Senyawa Volatil Pada Oncom Merah di Kecamatan Dramaga</t>
  </si>
  <si>
    <t>Dr. Ing. Dase Hunaefi, S.T.P., M.Food.St.</t>
  </si>
  <si>
    <t>First Leisa Kurnia	F2501212048</t>
  </si>
  <si>
    <t>KAJIAN PRODUKSI DAN STABILISASI MINYAK IKAN PETEK (Leiognathus equulus) SERBUK MENGGUNAKAN METODE PENDINGINAN SEMPROT</t>
  </si>
  <si>
    <t>Prof. Dr. Ir. Purwiyatno Hariyadi, M.Sc</t>
  </si>
  <si>
    <t xml:space="preserve">Jaka Rukmana	 (F2601211010)	</t>
  </si>
  <si>
    <t>Edible Flowers as Prominent Health Promoter Sources for Novel Ingredients: Volatilomic and Sensomic Study on Roselle Calyx</t>
  </si>
  <si>
    <t>Prof. Dr. Ir. Hanifah Nuryani Lioe, M.Si.</t>
  </si>
  <si>
    <t>Zadia Zahra (F2401201059)
Annisa Ayu Safitri (F2401201079)</t>
  </si>
  <si>
    <t>Bioavailabilitas kalsium pada mi ubi jalar dengan fortifikasi mineral sebagai pencegah osteoporosis</t>
  </si>
  <si>
    <t xml:space="preserve">Prof. Dr. Ir. Sedarnawati Yasni, M.Agr. </t>
  </si>
  <si>
    <t xml:space="preserve">Karsi Ambarwati(	F251180628)	</t>
  </si>
  <si>
    <t>Aplikasi Teknologi Proses Iradiasi Serta Pengolahan Termal dalam Upaya Mengurangi Alergenitas Udang vaname (Littopenaeus vannamei) dan Udang windu (Penaeus monodon</t>
  </si>
  <si>
    <t>Nina Kurnia Dewi (F2501212049)</t>
  </si>
  <si>
    <t>Peningkatan Stabilitas Produk Sari Tebu</t>
  </si>
  <si>
    <t>Prof. Dr.-Ing. Azis Boing Sitanggang, STP., MSc</t>
  </si>
  <si>
    <t>Paket Pelatihan Cara Produksi Pangan Olahan yang Baik - Pengembangan Formula dan Monitoring Ksesuaian dalam Produksi Bagi UMK PKGK Dalam Rangka Fasilitasi Penerapan Program Manajemen Risiko bagi UMK Pangan Risiko Tinggi</t>
  </si>
  <si>
    <t>Dr. Saraswati, S.Pi</t>
  </si>
  <si>
    <t>Karakterisasi Minuman Susu Cair Rasa Pisang Komersial Dengan Metode Cata (Check-All-D-That-Apply) Dan Essence Profile</t>
  </si>
  <si>
    <t>Pengendalian Quality Control Point (Qcp) Proses Homogenisasi Susu Uht Di Pt Xyz</t>
  </si>
  <si>
    <t>Direktorat Pengawasan Produksi Pangan Olahan, Badan Pengawas Obat dan Makanan (BPOM)</t>
  </si>
  <si>
    <t>Optimasi Formula Teh Hijau, Bunga Telang, Rosella, Dan Daun Jeruk Purut Sesuai Preferensi Sensori Dan Aktivitas Antioksidan</t>
  </si>
  <si>
    <t>Optimasi Penerimaan Sensori Dan Kekenyalan Plant-Protein Substitute Nugget Berbasis Tempe Edamame (Glycine Max (L) Merrill)</t>
  </si>
  <si>
    <t>Optimasi Formula Permen Cajuputs ® Dengan Jamu Kunyit-Asam Dan Vanila Untuk Pengembangan Mutu Sensori Dan Aktivitas Antioksidan</t>
  </si>
  <si>
    <t>Assessing Quality Control To Fulfill Product Quality Standards For High Ph Bottled Water</t>
  </si>
  <si>
    <t>Profil Sensori Teh Putih (Camellia Sinensis Linn.) Panelis Terlatih Dan Panelis Konsumen Dengan Menggunakan Metode High Identity Traits (Hits)</t>
  </si>
  <si>
    <t>Profiling Sensori Sweet Crackers Komersial Berbasis Panelis Konsumen Menggunakan Metode Terpilih</t>
  </si>
  <si>
    <t>Pengaruh Penerapan Proses Termal Terhadap Sifat Fisikokimia Dan Sifat Fungsional Madu Trigona S.P</t>
  </si>
  <si>
    <t>Dede Robiatul Adawiyah</t>
  </si>
  <si>
    <t>Optimasi Formula Enkapsulasi Ekstrak Propolis Trigona Menggunakan Maltodekstrin-Gum Biji Selasih Dengan Teknik Spray Drying</t>
  </si>
  <si>
    <t>Inaktivasi Mikroba Dalam Susu Menggunakan Teknologi High Pressure Processing: Kajian Meta-Analisis</t>
  </si>
  <si>
    <t>Rancangan Sistem Pengendalian Keamanan Pangan Dengan Pendekatan Haccp Pada Proses Pergantian Produk Minuman Serbuk Di Pt Xyz</t>
  </si>
  <si>
    <t>Bioaksesibilitas Antioksidan Teh Daun Bidara Arab (Ziziphus Spina-Christy</t>
  </si>
  <si>
    <t>Pengembangan Produk Nasi Sorgum Instan Dengan Dua Teknik Pengolahan Yang Berbeda (Porboiled Dan Konvensional)</t>
  </si>
  <si>
    <t>Fahim Muchammad Taqi</t>
  </si>
  <si>
    <t>Analisis Dan Pemetaan Preferensi Konsumen Terhadap Mi Goreng Instan Di Wilayah Jabodetabek</t>
  </si>
  <si>
    <t>Pendugaan Umur Simpan Kelapa Kopyor Kering Dalam Kemasan Metalized Pet</t>
  </si>
  <si>
    <t>Kajian Metode Purifikasi Glukomanan Dari Umbi Porang (Amorphophallus Muelleri Blume) Dan Potensi Aplikasinya Pada Produk Pangan</t>
  </si>
  <si>
    <t>Pengembangan Bubuk Hidrolisat Kepala Udang Peci (Penaeus Merguensis) Dengan Metode Foam-Mat Driying Menggunakan Gum Arab</t>
  </si>
  <si>
    <t>Antimicrobial Activity Of Kecombrang (Etlingera Elatior) Against Food Spoilage And Foodborne Pathogenic Microorganisms: A Literature Review</t>
  </si>
  <si>
    <t>Study Of Food Additives Composition In Non-Emulsified Sauce Products Based On Label Information</t>
  </si>
  <si>
    <t>Edible Flowers As Prominent Health Promoter Sources For Novel Ingredients And Functional Foods</t>
  </si>
  <si>
    <t>Pengaruh Komponen Utama Bahan Dan Bentuk Delivery System Mikroenkapsulan Terhadap Sintasan Probiotik Pangan – Meta-Analisis</t>
  </si>
  <si>
    <t>Meta-Analisis Pengaruh Penambahan Bawang Putih Terhadap Mutu Mikrobiologi Produk Daging</t>
  </si>
  <si>
    <t>Effect Storage On Physicochemical Properties And Halophilic Bacteria In Liquid Tauco From Cianjur</t>
  </si>
  <si>
    <t>Karakterisasi Sifat Fisikokimia Dan Jumlah Kelompok Bakteri Tahan Garam (Halofifik) Pada Tauco Kering Cianjur</t>
  </si>
  <si>
    <t>Analisis Kesenjangan (Gap Analysis) Dalam Implementasi Haccp Pada Produk Nata De Coco Di Pt Xyz</t>
  </si>
  <si>
    <t>Evaluasi Kecukupan Panas Pada Proses Pasteurisasi Mini Jelly Dalam Kemasan Cup Di Pt. Xyz</t>
  </si>
  <si>
    <t>Optimasi Formula Tempe Berbahan Baku Koro Benguk Dan Kedelai Serta Evaluasi Omposisi Kimia, Sensori Dan Mutu Protein</t>
  </si>
  <si>
    <t>Analisis Atribut Mutu Pada Produk Bubur Instan Dalam Kemasan Menggunakan
 Klasifikasi Caswell</t>
  </si>
  <si>
    <t>Tinjauan Sistematis: Pengaruh Garam-Garam Pengemulsi Terhadap Mutu
 Processed Cheese Dan Processed Cheese Spread</t>
  </si>
  <si>
    <t>The Implementation Of Good Manufacturing Practices At Msme Xyz Bogor
 City</t>
  </si>
  <si>
    <t>Tinjauan Sistematik Cemaran Mmikroplastik di Indonesia</t>
  </si>
  <si>
    <t>Karakteristik Reologi Oleogel Minyak Sawit Merah Yang Dibentuk Dengan
 Oleogelator Lilin Lebah</t>
  </si>
  <si>
    <t>Nur Wulandari</t>
  </si>
  <si>
    <t>Pengembangan Serbuk Wedang Tahu Dan Pendugaan Umur Simpan Dengan Metode
 Kadar Air Kritis</t>
  </si>
  <si>
    <t>Teknologi Proses Pengolahan Nasi Gurih Instan</t>
  </si>
  <si>
    <t>Pengaruh Perlakuan Basah Dan Kering Cpo Untuk Mitigasi, Penurunan
 Kontaminan 3-Mcpde Dan Ge Pada, Pemurnian Minyak Sawit</t>
  </si>
  <si>
    <t>Karakteristik Kimia Dan Spektrum Ekstrak Pigmen Bunga Kecombrang
 (Etlingera Elatior (Jack) R.M. Sm) Dan Lengkuas Merah (Alpinia Purpurata
 (Vieill.) K. Schum)</t>
  </si>
  <si>
    <t>Aktivitas Antidiabetik Fuli Pala (Myristica Fragrans Houtt) : Studi In
 Vitro Dan In Vivo</t>
  </si>
  <si>
    <t>Analisis Perbaikan Penerapan Cppob Dan Pendampingan Sertifikasi Pb-Umku
 Berupa Izin Penerapan Cppob Pada Umkm Xyz</t>
  </si>
  <si>
    <t>Risiko Paparan Formaldehida Dari Beberapa Jenis Ikan Pada Masyarakat Di
 Kecamatan Dramaga</t>
  </si>
  <si>
    <t>Kadar Senyawa Bioaktif Dan Aktivitas Antioksidan Seduhan Kopi Arabika
 Dengan Variasi Metode Penyeduhankadar Senyawa Bioaktif Dan Aktivitas Antioksidan Seduhan Kopi Arabika
 Dengan Variasi Metode Penyeduhan</t>
  </si>
  <si>
    <t>Formulasi Kombinasi Tepung Ikan Tenggiri (Scomberomorus Commerson) Dan
 Kacang-Kacangan Sebagai Sumber Protein Dalam Pembuatan Ready To Use Fish Food</t>
  </si>
  <si>
    <t>Formulasi Ready To Use Fish Food (Ruff) Dari Tepung Ikan Gabus (Channa
 Striata)</t>
  </si>
  <si>
    <t>Profil Toksigenik Isolat Lokal Bacillus Cereus Asal Nasi Goreng</t>
  </si>
  <si>
    <t>Pengetahuan, Sikap, Dan Perilaku Pengelola Rumah Makan Di Wilayah
 Pelabuhan Ratu Sukabumi Terhadap Keamanan Pangan</t>
  </si>
  <si>
    <t>Kemampuan Ekstrak Etanol Daun Rosemary (Rosmarinus Officinalis) Dalam
 Menghambat Salmonella Spp. Pada Filet Daging Ayam</t>
  </si>
  <si>
    <t>Evaluasi Sistem Keamanan Pangan Berbasis Haccp Dalam Produk Mini Jelly
 Pt Xyz</t>
  </si>
  <si>
    <t>Karakteristik Sifat Fisikokimia, Fungsional, Dan Sensori Sereal Sarapan
 Dari Berbagai Beras Pecah Kulit</t>
  </si>
  <si>
    <t>Karakteristik Fisik, Kimia, Dan Sensori Formula Beras Analog Dengan
 Ragam -Konsentrasi Glukomanan Porang</t>
  </si>
  <si>
    <t>Pengaruh Substitusi Bahan Baku Terhadap Karakteristik Bakso</t>
  </si>
  <si>
    <t>Kajian Penyusunan Manual Sistem Jaminan Produk Halal Dan Implementasinya
 Di Ikm Xyz</t>
  </si>
  <si>
    <t>Studi Meta-Analisis Pengaruh Blansir Terhadap Total Fenolik Buah Dan
 Sayur</t>
  </si>
  <si>
    <t>Optimasi Formula Lemon Water Ready To Drink Menggunakan Metode D-Optimal
 Mixture Design</t>
  </si>
  <si>
    <t>Aktivitas Antioksidan Dpph Dari Rumput Laut Dengan Kajian Meta Analisis</t>
  </si>
  <si>
    <t>Meta Analisis Pengaruh Proses Fermentasi, Jenis Dan Asal Biji Kakao
 Terhadap Kapasitas Antioksidannya</t>
  </si>
  <si>
    <t>Sutrisno Koswara</t>
  </si>
  <si>
    <t>Profil Penggunaan Bahan Tambahan Pangan Dalam Produk Bumbu Instan Pasta
 Berdasarkan Informasi Label Pangan</t>
  </si>
  <si>
    <t>Evaluasi Sensori Berbasis Konsumen Pada Minuman Yuzu (Citrus Junos)
 Komersial</t>
  </si>
  <si>
    <t>Seleksi Mikroba Asal Pangan Fermentasi Dengan Kemampuan Deglikosilasi
 Untuk Peningkatan Bioaktivitas Komponen Aktif</t>
  </si>
  <si>
    <t>Uswatun Hasanah</t>
  </si>
  <si>
    <t>Prevalensi Cemaran Bakteri Indikator Sanitasi Dan Patogen Pada Daging
 Ayam Dan Produk Olahannya Di Indonesia: Tinjauan Sistematis Dan Meta-Analisis</t>
  </si>
  <si>
    <t>Pengetahuan Dan Kemampuan Peserta Bimbingan Teknis Cara Produksi Pangan
 Olahan Yang Baik</t>
  </si>
  <si>
    <r>
      <rPr>
        <sz val="11"/>
        <color theme="1"/>
        <rFont val="Calibri"/>
      </rPr>
      <t xml:space="preserve">Pengembangan Teh Siap Minum, Minuman Sereal Instan dan Sereal </t>
    </r>
    <r>
      <rPr>
        <i/>
        <sz val="11"/>
        <color theme="1"/>
        <rFont val="Calibri"/>
      </rPr>
      <t xml:space="preserve">Flakes </t>
    </r>
    <r>
      <rPr>
        <sz val="11"/>
        <color theme="1"/>
        <rFont val="Calibri"/>
      </rPr>
      <t xml:space="preserve">dengan Fortifikasi </t>
    </r>
    <r>
      <rPr>
        <i/>
        <sz val="11"/>
        <color theme="1"/>
        <rFont val="Calibri"/>
      </rPr>
      <t>Moringa oleifera</t>
    </r>
    <r>
      <rPr>
        <sz val="11"/>
        <color theme="1"/>
        <rFont val="Calibri"/>
      </rPr>
      <t xml:space="preserve"> Leaf Powder (MLP)</t>
    </r>
  </si>
  <si>
    <t>Prof. Dr.-Ing. Azis Boing Sitanggang, S.T.P., M.Sc</t>
  </si>
  <si>
    <t>Pengembangan Produk Stevia</t>
  </si>
  <si>
    <t>Karakterisasi sifat fungsional biji selasih (ocimum basilicum) dan chia (salvinia hispanica) sebagai sumber prebiotic, antioksidan dan pengemulsi</t>
  </si>
  <si>
    <t>121.140.000</t>
  </si>
  <si>
    <t xml:space="preserve">1        Afrida Nurwulan        F2501201022        
2        Prillia Restu Kemaladewi        F2401211010        
3        MARCELLINUS ANDRIAN WIJOYO        F2401211004        
4        Medina Alia Rahmawati        F2501201013        
5        KHAIROL IZZAH BINTI KHAIROL AZMI        X1004241827        </t>
  </si>
  <si>
    <t>Identifikasi Ayam Tiren dengan Pendekatan Volatilomik Berbasis SPME-GC/MS untuk Mendukung Implementasi Jaminan Halal Produk Daging di Indonesia</t>
  </si>
  <si>
    <t>120.280.000</t>
  </si>
  <si>
    <t>Khansa Fitria Latifa Hidayat F2501231031
Sarah Azzahra F24012110163
FAYZA FADHILLATUNNIZAR F2401211059</t>
  </si>
  <si>
    <t>Peningkatan Kualitas Pangan Indeks Glikemik (IG) Rendah dari Sumber Karbohidrat Lokal sebagai Alternatif Makanan Selingan Penderita Diabetes Mellitus</t>
  </si>
  <si>
    <t>Perbedaan Profil Senyawa Bioaktif Bubuk Spirulina Hasil Budidaya Kolam Semi Tertutup dan Terbuka</t>
  </si>
  <si>
    <t>Golda Ifany Turnip        F2501222021</t>
  </si>
  <si>
    <t>Profil Senyawa Volatil Gula Aren (Arenga pinnata) Asal Bangka dengan Berbagai Proses Pengolahan yang berbeda</t>
  </si>
  <si>
    <t>Siti Fatimah Kumala Dewi	F2501222028</t>
  </si>
  <si>
    <t>Aplikasi Metode Non-termal Plasma Ozon Nanobubble Pada Sari Kedelai dan Dampaknya terhadap Karakteristik Produk</t>
  </si>
  <si>
    <t>Pengujian bioaksesibilitas antioksidan dan identifikasi perubahan senyawa antioksidan fenolik dedaunan pada sistem pencernaan in vitro</t>
  </si>
  <si>
    <t>117.550.000</t>
  </si>
  <si>
    <t>Aktivitas Antimikroba dan Identifikasi Komponen Asam Ekstrak Air Panas Buah Kecombrang dengan LC-MS/MS serta Potensinya sebagai Pengawet Alami Pangan Segar</t>
  </si>
  <si>
    <t>Keamanan pangan fermentasi lokal Indonesia berdasarkan analisis keragaman mikroorganisme berbasis Next-Generation Sequencing</t>
  </si>
  <si>
    <t>Immunomodulators Identification from Fermented and Non Fermented Indonesia Cocoa Powder of Several Genotypes using Metabolomics Approach and Their Bioavailability</t>
  </si>
  <si>
    <t>Nanda Marizky        F2501231032</t>
  </si>
  <si>
    <t>Metabolomik LC-MS untuk Mengidentifikasi Komponen Aktif Sitotoksik Terhadap Sel Kanker Kolon HCT-116 dan WiDr dari Jamur Pangan Lokal Lentinus squarrosullus</t>
  </si>
  <si>
    <t>Donald John Calvien Hutabarat
F2601222020</t>
  </si>
  <si>
    <t>PENGEMBANGAN PRODUK CONFECTIONERY COKELAT TINGGI KAROTENOID DARI OLEOGEL BERBASIS OLEIN SAWIT MERAH</t>
  </si>
  <si>
    <t xml:space="preserve">Muhammad Dany Arif	
F2401201828	
</t>
  </si>
  <si>
    <t>Profil Alergenisitas Protein Kedelai dan Karakterisasi Senyawa Alergen selama Proses Pengolahan Tempe</t>
  </si>
  <si>
    <t>Nanda Triandita	F2601221003</t>
  </si>
  <si>
    <t>Substitusi Kedelai dengan Kacang Tunggak Varietas Albina IPB: Evaluasi Mutu Fisikokimia dan Sensori</t>
  </si>
  <si>
    <t>32.820.000</t>
  </si>
  <si>
    <t>FITRIA SUCI SUNDARI	F2502231010</t>
  </si>
  <si>
    <t>Tempe sebagai Pengendali Penyakit Diabetes Melitus: Persepsi Konsumen dan Kelayakannya</t>
  </si>
  <si>
    <t>22.100.000</t>
  </si>
  <si>
    <t xml:space="preserve">Indana Mardhiati	F2502211013
</t>
  </si>
  <si>
    <t>144.850.000</t>
  </si>
  <si>
    <t>Optimasi Produksi Sirup Glukosa Berbasis Pati Sagu (Metroxylon rumphii Martius) Varietas Unggul Selatpanjang Meranti Menggunakan Enzim dari Mikroba Lokal</t>
  </si>
  <si>
    <t>27.970.000</t>
  </si>
  <si>
    <t>Produksi Nanopartikel ZnO dengan Metode Top-Down Ultrasonikasi yang Ramah Lingkungan dari Bahan Lokal dan Aplikasinya untuk Film Antimikroba Bio-Nanokomposit</t>
  </si>
  <si>
    <t>132.720.000</t>
  </si>
  <si>
    <t>Analisis Perbedaan dan Identifikasi Penanda Karakteristik Fisik, Kimia, Sensori, dan Aktivitas Antioksidan Kopi Liberika Indikasi Geografis Indonesia</t>
  </si>
  <si>
    <t>49.780.000</t>
  </si>
  <si>
    <t>Penelusuran sumber kontaminasi patogen pada sayuran segar dan potensi resistensi antibiotik menggunakan Next Generation Sequencing untuk pengendalian keamanan pangan</t>
  </si>
  <si>
    <t>122.090.000</t>
  </si>
  <si>
    <t>Shausan Fairuz Jinan F2501231005
Nailus Syarifah F2501232094
Zahra Abidina Pintaito F2501232086</t>
  </si>
  <si>
    <t>Rekayasa ALSINTAN Penyemprot Pestisida Pada Padi Berbasis Teknologi Sensor Ba0.5Sr0.5TiO3 (BST), Mikrokontroller dan Energi</t>
  </si>
  <si>
    <t>Tineke Mandang</t>
  </si>
  <si>
    <t>PT</t>
  </si>
  <si>
    <t>PENGEMBANGAN SISTEM CERDAS DAN PRESISI PEMILIHAN DAN REKOMENDASI MAKANAN KOMERSIAL BERBASIS STATUS GIZI KONSUMEN SPESIFIK</t>
  </si>
  <si>
    <t>Kudang Boro Seminar</t>
  </si>
  <si>
    <t>Pengembangan Model Jaringan Syaraf Tiruan dan Near-Infrared Spectroscopy untuk Prediksi Kandungan Kimia Buah Sawit Secara Non-Destruktif</t>
  </si>
  <si>
    <t>I Wayan Budiastra</t>
  </si>
  <si>
    <t>PENINGKATAN STABILITAS PRODUK SARI TEBU</t>
  </si>
  <si>
    <t xml:space="preserve">Yohanes Aris Purwanto </t>
  </si>
  <si>
    <t>RECIRCULATED AQUACULTURE SYSTEM (RAS) UNTUK KOLAM BUDIDAYA UDANG BERBASIS TEKNOLOGI PLASMA FINEBUBBLE</t>
  </si>
  <si>
    <t>Pengembangan deteksi cepat kualitas daging menggunakan portable Vis/NIR spectroscopy untuk mendukung sistem logistik dan traceability industri peternakan 4.0</t>
  </si>
  <si>
    <t>Metode praproses spektrum NIR berbasis CNN untuk pendugaan kualitas beras</t>
  </si>
  <si>
    <t>Pengembangan Algoritma Grading Tanaman Brokoli Menggunakan Adaptive Convolution Neural Network</t>
  </si>
  <si>
    <t>SERVICES AGREEMENT BETWEEN IPB UNIVERSITY (INSTITUT PERTANIAN BOGOR) AND KOREA INSTITUTE OF MACHINERY AND MATERIALS IN SERVICES RELATED TO INSTALLATION OF FACILITIES IN PLANT FACTORY</t>
  </si>
  <si>
    <t>Slamet Widodo</t>
  </si>
  <si>
    <t>Luar PT LN</t>
  </si>
  <si>
    <t>MARKET AND CUSTOMER SURVEY: ASSESSING THE POTENTIAL OF RICE SPOT SEEDER BY DRONE</t>
  </si>
  <si>
    <t>Radite Praeko Agus Setiawan</t>
  </si>
  <si>
    <t>Rekayasa Sistem Deteksi Mutu Buah Sawit Secara Non Destruktif Berbasis Electrical Impedance Spectroscopy</t>
  </si>
  <si>
    <t>HIGH-VALUE CHEMICALS AND SYNGAS PRODUCTION FROM INDONESIAN MARINE MACROALGAE UNDER SUB- AND SUPERCRITICAL CONDITIONS</t>
  </si>
  <si>
    <t>Obie Farobie</t>
  </si>
  <si>
    <t>PEMANFAATAN COLD STORAGE RAMAH LINGKUNGAN UNTUK KAPAL IKAN NELAYAN TRADISIONAL</t>
  </si>
  <si>
    <t>Muhamad Yulianto</t>
  </si>
  <si>
    <t>Sistem Pendugaan Kandungan Gula Berbasis Portable NIR Spectroscopy Terintegrasi GIS untuk Mendukung Penerapan Pertanian Presisi pada Perkebunan Tebu Modern</t>
  </si>
  <si>
    <t>DATA ANALITIK DAN INOVASI PERANGKAT LUNAK BERBASIS DRONE DAN MACHINE LEARNING UNTUK TANAMAN HORTIKULTURA GUNA MENDUKUNG PENGEMBANGAN AGROMARITIM 4.0 DI INDONESIA</t>
  </si>
  <si>
    <t>Supriyanto</t>
  </si>
  <si>
    <t>A NOVEL MESOPOROUS CATALYST DERIVED FROM ALGAE FOR BIODIESEL PRODUCTION USING CONVENTIONAL, MICROWAVE,A AND SUBCRITICAL METHANOL</t>
  </si>
  <si>
    <t>A novel mesoporous catalyst derived from algae for biodiesel production using conventional, microwave, and subcritical methanol</t>
  </si>
  <si>
    <t>Pemanfaatan Makroalga Khas Indonesia dengan Penambahan Amberlyst-15 Catalyst untuk Bahan Bakar Cair Ramah Lingkungan serta Aplikasi Bio-char sebagai Adsorben Logam Berat</t>
  </si>
  <si>
    <t>Apip Amrullah, Obie Farobie</t>
  </si>
  <si>
    <t>Penelitian Kompetitif Nasional ( PDKN )</t>
  </si>
  <si>
    <t>A novel mesoporous catalyst derived from algae for biodiesel production using microwave technique</t>
  </si>
  <si>
    <t>Obie Farobie, Lilis Sucahyo</t>
  </si>
  <si>
    <t>Penelitian Kompetitif Nasional ( PFR )</t>
  </si>
  <si>
    <t>Pengembangan Teknologi Produksi Biogas dari Makroalga Ulva Lactuca: Investigasi Eksperimental, Kinetika, dan Optimasi</t>
  </si>
  <si>
    <t>Obie Farobie, Lilis Sucahyo, Edy Hartulistiyoso</t>
  </si>
  <si>
    <t>Penelitian Kompetitif Nasional ( KATALIS )</t>
  </si>
  <si>
    <t>MAPPING OF THE AGROFORESTRY SECTORS IN TIMOR-LESTE</t>
  </si>
  <si>
    <t>Sugeng Heri Suseno, Obie Farobie</t>
  </si>
  <si>
    <t>KERJASAMA LUAR NEGERI ( KS )</t>
  </si>
  <si>
    <t>ANALISA DAN KARAKTERISASI STRUKTUR 3D PIGMEN BIRU FIKOSIANIN DARI MIKROALGA LOKAL SPIRULINA MAXIMA DAN GALDIERIA SULPHURARIA</t>
  </si>
  <si>
    <t>RIIM BIOLOGI STRUKTUR ( KS )</t>
  </si>
  <si>
    <t>VALORIZATION OF WASTE PLASTIC AND MACROALGAE FOR BIO-OIL AND BIOCHAR PRODUCTION VIA PYROLYSIS (LANJUTAN)</t>
  </si>
  <si>
    <t>WORLD UNIVERSITY RANKING ( RI-KOIN )</t>
  </si>
  <si>
    <t>Sintesis Triacetin sebagai Green Additive Biosolar melalui Asetilasi-Kavitasi Hidrodinamik dengan Katalis Karbon</t>
  </si>
  <si>
    <r>
      <rPr>
        <sz val="11"/>
        <color theme="1"/>
        <rFont val="Calibri"/>
      </rPr>
      <t xml:space="preserve">Dwi Setyaningsih, </t>
    </r>
    <r>
      <rPr>
        <b/>
        <sz val="11"/>
        <color theme="1"/>
        <rFont val="Calibri"/>
      </rPr>
      <t>Edy Hartulistiyoso</t>
    </r>
  </si>
  <si>
    <t>Penelitian Kompetitif Nasional ( PTB )</t>
  </si>
  <si>
    <t>INOVASI PROSES PRODUKSI PIGMEN DAN HIDROCHAR TERINTEGRASI DARI MIKROALGA CHLORELLA PYRENOIDOSA MELALUI KARBONISASI HIDROTERMAL (LANJUTAN)</t>
  </si>
  <si>
    <t>Edy Hartulistiyoso</t>
  </si>
  <si>
    <t>WORLD UNIVERSITY RANKING ( RI-NA )</t>
  </si>
  <si>
    <t>Efektivitas Perlakuan Plasma untuk Meningkatkan Mutu Benih Melon (Cucumis melo L.)</t>
  </si>
  <si>
    <r>
      <rPr>
        <sz val="11"/>
        <color theme="1"/>
        <rFont val="Calibri"/>
      </rPr>
      <t xml:space="preserve">Muhammad Rahmad Suhartanto , </t>
    </r>
    <r>
      <rPr>
        <b/>
        <sz val="11"/>
        <color theme="1"/>
        <rFont val="Calibri"/>
      </rPr>
      <t>Y. Aris Purwanto</t>
    </r>
  </si>
  <si>
    <t>Penelitian Kompetitif Nasional ( PPS-PTM )</t>
  </si>
  <si>
    <t>Riset Aksi Fakultas dan Sekolah (Plasma Activated Fine Bubbles Water untuk Mempercepat Germinasi Benih)</t>
  </si>
  <si>
    <t>Y. Aris Purwanto</t>
  </si>
  <si>
    <t>DM IPB</t>
  </si>
  <si>
    <t>Pengembangan Algoritma Grading Tanaman Brocoli menggunakan Adaptive Convolution Neural Network</t>
  </si>
  <si>
    <t>BPPTN</t>
  </si>
  <si>
    <t>Studi Uji Keaslian Kopi Spesialti Single-Origin Indonesia Secara Akurat dan Cepat Menggunakan Teknologi Portable Smartphone-based Fluorescence Spectroscopy dengan Lampu LED sebagai Sumber Eksitasinya</t>
  </si>
  <si>
    <r>
      <rPr>
        <sz val="11"/>
        <color theme="1"/>
        <rFont val="Calibri"/>
      </rPr>
      <t xml:space="preserve">Meinilwita Yulia, </t>
    </r>
    <r>
      <rPr>
        <b/>
        <sz val="11"/>
        <color theme="1"/>
        <rFont val="Calibri"/>
      </rPr>
      <t>Slamet Widodo</t>
    </r>
  </si>
  <si>
    <t>Penelitian Kompetitif Nasional ( PKDN )</t>
  </si>
  <si>
    <t>Pengembangan Sistem Deteksi Kandungan Minyak Kelapa Sawit secara Non-destruktif berbasis UV-VIS-NIR Spectroscopy</t>
  </si>
  <si>
    <t>I wayan Budiastra, Slamet Widodo</t>
  </si>
  <si>
    <t>Penelitian Kompetitif Nasional ( PPS-PDD )</t>
  </si>
  <si>
    <t>SERVICES AGREEMENT BETWEEN IPB UNIVERSITY (INSTITUT PERTANIAN BOGOR) AND KOREA INSTITUTE OF MACHINERY AND MATERIALS IN SERVICES RELATED TO CONSTRUCTION FOR POWER EXPANSION AND THERMAL INSULATION OF PLANT FACTORY</t>
  </si>
  <si>
    <t>Analisisis Cepat Komposisi dan Adulterasi pada susu sapisegar berbasis Multi channel</t>
  </si>
  <si>
    <t>Skema Hibah Kolaborasi Penelitian Strategis</t>
  </si>
  <si>
    <t>Penelitian Identifikasi Metode Fermentasi Honey dengan berbagai Starter pada Kopi Arabika berbasis Multi-channel Spectral Sensor dan Portable NIR Spectroscopy</t>
  </si>
  <si>
    <t>Pengembangan Instrumen Portable untuk Evaluasi Cepat Kualitas Gula Kristal Berbasis Multi-channel Spectral Sensor dan Embedded Machine Learning</t>
  </si>
  <si>
    <t>Strategi Pengembangan Bisnis Green House Hidroponik Berbasis e-Commerce Menggunakan Business Model Canvas (BMC) Pilot Inkubator Kedaulatan Pangan Nasional</t>
  </si>
  <si>
    <r>
      <rPr>
        <sz val="11"/>
        <color theme="1"/>
        <rFont val="Calibri"/>
      </rPr>
      <t xml:space="preserve">Dr. Yudi Nur Supriadi,s.sos.i,mm; Neny Rosmawarni; Ramadhani Mahendra Kusuma; Jubaedah; </t>
    </r>
    <r>
      <rPr>
        <b/>
        <sz val="11"/>
        <color theme="1"/>
        <rFont val="Calibri"/>
      </rPr>
      <t>Supriyanto</t>
    </r>
  </si>
  <si>
    <t>PENGEMBANGAN MODEL SISTEM PENGERING SURYA MANDIRI DENGAN METODE FOTOVOLTAIK-TERMAL (PV/T) DAN PENYIMPANAN PANAS ADSORPSI UNTUK PENGERINGAN GABAH (LANJUTAN)</t>
  </si>
  <si>
    <t>Leopold O Nelwan</t>
  </si>
  <si>
    <t>WORLD UNIVERSITY RANKING ( RI-FUND )</t>
  </si>
  <si>
    <t>DEVELOPMENT OF RICE SPOT SEEDER BY DRONE (RSSD)</t>
  </si>
  <si>
    <t>PENGEMBANGAN PROTOTIPE DAN SUPERVISI PRODUKSI MASSAL MIXER V.2 UNTUK KNAPSACK SPRAYER</t>
  </si>
  <si>
    <t>TEKNOLOGI PRODUKSI BIODESEL DARI PFAD DENGAN BUBBLE COLUMN REACTOR SECARA NON KATALITIK PADA TEKANAN ATMOSFERIK MELALUI APLIKASI FINE BUBBLE</t>
  </si>
  <si>
    <t>Dyah Wulandani</t>
  </si>
  <si>
    <t>KERJASAMA PEMERINTAH ( KS )</t>
  </si>
  <si>
    <t>PENGEMBANGAN SISTEM PENGHITUNGAN POHON SAWIT (TREE COUNTING) BERBASIS CITRA RESOLUSI SANGAT TINGGI)</t>
  </si>
  <si>
    <t>KERJASAMA SWASTA ( KS )</t>
  </si>
  <si>
    <t>PENGEMBANGAN MODEL CERDAS PENDUGA STATUS HARA MIKRO TANAMAN SAWIT BERBASIS CITRA SATELIT</t>
  </si>
  <si>
    <t>Desain Kawasan Agroindustri Mandiri Energi berbasis Pertanian Cerdas dan Presisi</t>
  </si>
  <si>
    <t>Desain Ekstraksi Protein Kacang Koro Pedang (Canavalia Ensiformisi) dengan konsep Zero-Waste untuk Green Economy</t>
  </si>
  <si>
    <t>Nanik Purwanti</t>
  </si>
  <si>
    <t>Rekayasa Fotoperiodisme dan Photon Flux Density untuk peningkatan Kualitas TSS Bawang Merah pada Lingkungan Terkendali</t>
  </si>
  <si>
    <t>M Solahudin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</si>
</sst>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#,##0;\(#,##0\)"/>
    <numFmt numFmtId="165" formatCode="[$Rp]#,##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u/>
      <sz val="11"/>
      <color theme="10"/>
      <name val="Calibri"/>
    </font>
    <font>
      <b/>
      <sz val="10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sz val="11"/>
      <name val="Calibri"/>
    </font>
    <font>
      <sz val="9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66FF33"/>
        <bgColor rgb="FF66FF33"/>
      </patternFill>
    </fill>
    <fill>
      <patternFill patternType="solid">
        <fgColor rgb="FF8DB3E2"/>
        <bgColor rgb="FF8DB3E2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89898"/>
        <bgColor rgb="FF98989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15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0" xfId="0" quotePrefix="1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1" fillId="0" borderId="0" xfId="0" quotePrefix="1" applyFont="1" applyAlignment="1">
      <alignment vertical="center"/>
    </xf>
    <xf numFmtId="164" fontId="6" fillId="5" borderId="1" xfId="0" applyNumberFormat="1" applyFont="1" applyFill="1" applyBorder="1" applyAlignment="1">
      <alignment horizontal="right"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quotePrefix="1" applyFont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41" fontId="5" fillId="0" borderId="6" xfId="1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165" fontId="14" fillId="3" borderId="2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4" fillId="6" borderId="1" xfId="0" quotePrefix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vertical="top" wrapText="1"/>
    </xf>
    <xf numFmtId="165" fontId="10" fillId="0" borderId="1" xfId="0" applyNumberFormat="1" applyFont="1" applyBorder="1" applyAlignment="1">
      <alignment horizontal="right" vertical="top" wrapText="1"/>
    </xf>
    <xf numFmtId="0" fontId="10" fillId="0" borderId="1" xfId="0" applyFont="1" applyBorder="1" applyAlignment="1">
      <alignment horizontal="center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vertical="top" wrapText="1"/>
    </xf>
    <xf numFmtId="165" fontId="10" fillId="0" borderId="10" xfId="0" applyNumberFormat="1" applyFont="1" applyBorder="1" applyAlignment="1">
      <alignment horizontal="right" vertical="top" wrapText="1"/>
    </xf>
    <xf numFmtId="0" fontId="10" fillId="0" borderId="10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top"/>
    </xf>
    <xf numFmtId="0" fontId="10" fillId="0" borderId="1" xfId="0" applyFont="1" applyBorder="1" applyAlignment="1">
      <alignment wrapText="1"/>
    </xf>
    <xf numFmtId="4" fontId="10" fillId="0" borderId="10" xfId="0" applyNumberFormat="1" applyFont="1" applyBorder="1" applyAlignment="1">
      <alignment horizontal="right" vertical="top" wrapText="1"/>
    </xf>
    <xf numFmtId="0" fontId="1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6" fillId="5" borderId="0" xfId="0" applyFont="1" applyFill="1" applyAlignment="1">
      <alignment horizontal="center" vertical="center"/>
    </xf>
    <xf numFmtId="165" fontId="17" fillId="0" borderId="1" xfId="0" applyNumberFormat="1" applyFont="1" applyBorder="1" applyAlignment="1">
      <alignment horizontal="right" vertical="top"/>
    </xf>
    <xf numFmtId="165" fontId="17" fillId="0" borderId="10" xfId="0" applyNumberFormat="1" applyFont="1" applyBorder="1" applyAlignment="1">
      <alignment horizontal="right" vertical="top"/>
    </xf>
    <xf numFmtId="0" fontId="14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165" fontId="17" fillId="0" borderId="10" xfId="0" applyNumberFormat="1" applyFont="1" applyBorder="1" applyAlignment="1">
      <alignment vertical="top"/>
    </xf>
    <xf numFmtId="0" fontId="10" fillId="9" borderId="1" xfId="0" applyFont="1" applyFill="1" applyBorder="1" applyAlignment="1">
      <alignment horizontal="center" vertical="top" wrapText="1"/>
    </xf>
    <xf numFmtId="0" fontId="17" fillId="10" borderId="10" xfId="0" applyFont="1" applyFill="1" applyBorder="1" applyAlignment="1">
      <alignment horizontal="left" vertical="top" wrapText="1"/>
    </xf>
    <xf numFmtId="0" fontId="17" fillId="10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7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18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17" fillId="0" borderId="0" xfId="0" applyFont="1" applyAlignment="1">
      <alignment vertical="top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7" fillId="0" borderId="10" xfId="0" applyNumberFormat="1" applyFont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top" wrapText="1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4" fillId="0" borderId="1" xfId="0" quotePrefix="1" applyFont="1" applyBorder="1" applyAlignment="1">
      <alignment horizontal="left" vertical="top"/>
    </xf>
    <xf numFmtId="0" fontId="10" fillId="0" borderId="0" xfId="0" applyFont="1" applyAlignment="1">
      <alignment horizontal="center" vertical="top"/>
    </xf>
    <xf numFmtId="165" fontId="10" fillId="0" borderId="1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7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7" fillId="0" borderId="0" xfId="0" applyFont="1"/>
    <xf numFmtId="0" fontId="17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5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10" fillId="0" borderId="0" xfId="0" applyFont="1" applyAlignment="1">
      <alignment horizontal="left" vertical="top"/>
    </xf>
    <xf numFmtId="3" fontId="10" fillId="0" borderId="0" xfId="0" applyNumberFormat="1" applyFont="1" applyAlignment="1">
      <alignment horizontal="left" vertical="top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2" fillId="3" borderId="1" xfId="0" applyFont="1" applyFill="1" applyBorder="1" applyAlignment="1">
      <alignment horizontal="center" vertical="top" wrapText="1"/>
    </xf>
    <xf numFmtId="0" fontId="12" fillId="3" borderId="2" xfId="0" applyFont="1" applyFill="1" applyBorder="1" applyAlignment="1">
      <alignment horizontal="center" vertical="top" wrapText="1"/>
    </xf>
    <xf numFmtId="3" fontId="12" fillId="3" borderId="2" xfId="0" applyNumberFormat="1" applyFont="1" applyFill="1" applyBorder="1" applyAlignment="1">
      <alignment horizontal="center" vertical="top" wrapText="1"/>
    </xf>
    <xf numFmtId="0" fontId="13" fillId="4" borderId="1" xfId="0" applyFont="1" applyFill="1" applyBorder="1" applyAlignment="1">
      <alignment horizontal="center" vertical="top" wrapText="1"/>
    </xf>
    <xf numFmtId="3" fontId="13" fillId="4" borderId="1" xfId="0" applyNumberFormat="1" applyFont="1" applyFill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10" fillId="8" borderId="1" xfId="0" applyFont="1" applyFill="1" applyBorder="1" applyAlignment="1">
      <alignment vertical="top" wrapText="1"/>
    </xf>
    <xf numFmtId="0" fontId="21" fillId="8" borderId="1" xfId="0" applyFont="1" applyFill="1" applyBorder="1" applyAlignment="1">
      <alignment horizontal="center" vertical="top" wrapText="1"/>
    </xf>
    <xf numFmtId="3" fontId="21" fillId="8" borderId="1" xfId="0" applyNumberFormat="1" applyFont="1" applyFill="1" applyBorder="1" applyAlignment="1">
      <alignment horizontal="center" vertical="top" wrapText="1"/>
    </xf>
    <xf numFmtId="0" fontId="21" fillId="8" borderId="1" xfId="0" applyFont="1" applyFill="1" applyBorder="1" applyAlignment="1">
      <alignment vertical="top" wrapText="1"/>
    </xf>
    <xf numFmtId="0" fontId="10" fillId="8" borderId="10" xfId="0" applyFont="1" applyFill="1" applyBorder="1" applyAlignment="1">
      <alignment vertical="top" wrapText="1"/>
    </xf>
    <xf numFmtId="3" fontId="10" fillId="0" borderId="0" xfId="0" applyNumberFormat="1" applyFont="1" applyAlignment="1">
      <alignment vertical="top"/>
    </xf>
    <xf numFmtId="165" fontId="10" fillId="0" borderId="0" xfId="0" applyNumberFormat="1" applyFont="1" applyAlignment="1">
      <alignment horizontal="left" vertical="center"/>
    </xf>
    <xf numFmtId="0" fontId="0" fillId="0" borderId="0" xfId="0"/>
    <xf numFmtId="165" fontId="10" fillId="0" borderId="0" xfId="0" applyNumberFormat="1" applyFont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5" fillId="0" borderId="10" xfId="0" applyFont="1" applyBorder="1"/>
    <xf numFmtId="0" fontId="14" fillId="6" borderId="7" xfId="0" applyFont="1" applyFill="1" applyBorder="1" applyAlignment="1">
      <alignment horizontal="center" vertical="center" wrapText="1"/>
    </xf>
    <xf numFmtId="0" fontId="15" fillId="0" borderId="8" xfId="0" applyFont="1" applyBorder="1"/>
    <xf numFmtId="0" fontId="15" fillId="0" borderId="9" xfId="0" applyFont="1" applyBorder="1"/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ipb.ac.id/kerjasama/file_kerjasama_e5d4e472d3df4190941efe3bd75b36a9.pdf" TargetMode="External"/><Relationship Id="rId2" Type="http://schemas.openxmlformats.org/officeDocument/2006/relationships/hyperlink" Target="https://cdn.ipb.ac.id/kerjasama/file_kerjasama_15edf2b1e0da45efb3dc2f6e978483cd.pdf" TargetMode="External"/><Relationship Id="rId1" Type="http://schemas.openxmlformats.org/officeDocument/2006/relationships/hyperlink" Target="https://cdn.ipb.ac.id/kerjasama/file_kerjasama_8be23b039aca43f1b8287a170442de06.pdf" TargetMode="External"/><Relationship Id="rId6" Type="http://schemas.openxmlformats.org/officeDocument/2006/relationships/hyperlink" Target="https://cdn.ipb.ac.id/sippm/DokPPM_a786dc2f5d7740969ccda264f4881390.pdf" TargetMode="External"/><Relationship Id="rId5" Type="http://schemas.openxmlformats.org/officeDocument/2006/relationships/hyperlink" Target="https://cdn.ipb.ac.id/sippm/DokPPM_6a5cfd02a6404321bfee5e73a6daddab.pdf" TargetMode="External"/><Relationship Id="rId4" Type="http://schemas.openxmlformats.org/officeDocument/2006/relationships/hyperlink" Target="https://cdn.ipb.ac.id/sippm/DokPPM_6bb059b61f7547f88741b1be4ce168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4485-BB14-40CB-BC06-B5E1AC2372CF}">
  <dimension ref="A1:AC461"/>
  <sheetViews>
    <sheetView workbookViewId="0">
      <selection activeCell="B5" sqref="B5"/>
    </sheetView>
  </sheetViews>
  <sheetFormatPr defaultColWidth="14.453125" defaultRowHeight="84" customHeight="1" x14ac:dyDescent="0.35"/>
  <cols>
    <col min="1" max="1" width="5.453125" customWidth="1"/>
    <col min="2" max="2" width="28" customWidth="1"/>
    <col min="3" max="3" width="25.08984375" customWidth="1"/>
    <col min="4" max="4" width="10.7265625" customWidth="1"/>
    <col min="5" max="5" width="13" customWidth="1"/>
    <col min="6" max="6" width="26.54296875" customWidth="1"/>
    <col min="7" max="7" width="11.08984375" customWidth="1"/>
    <col min="8" max="8" width="22.7265625" customWidth="1"/>
    <col min="9" max="9" width="21.7265625" customWidth="1"/>
    <col min="13" max="29" width="8.81640625" customWidth="1"/>
  </cols>
  <sheetData>
    <row r="1" spans="1:29" ht="14.5" x14ac:dyDescent="0.35">
      <c r="A1" s="1" t="s">
        <v>0</v>
      </c>
      <c r="B1" s="1"/>
      <c r="C1" s="1"/>
      <c r="D1" s="2"/>
      <c r="E1" s="3"/>
      <c r="F1" s="4"/>
      <c r="G1" s="2"/>
      <c r="H1" s="5"/>
      <c r="I1" s="6" t="s">
        <v>1</v>
      </c>
      <c r="J1" s="7"/>
      <c r="K1" s="7"/>
      <c r="L1" s="7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4.5" x14ac:dyDescent="0.35">
      <c r="A2" s="1"/>
      <c r="B2" s="1"/>
      <c r="C2" s="1"/>
      <c r="D2" s="2"/>
      <c r="E2" s="3"/>
      <c r="F2" s="4"/>
      <c r="G2" s="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84" customHeight="1" x14ac:dyDescent="0.35">
      <c r="A3" s="9" t="s">
        <v>2</v>
      </c>
      <c r="B3" s="10" t="s">
        <v>3</v>
      </c>
      <c r="C3" s="10" t="s">
        <v>4</v>
      </c>
      <c r="D3" s="10" t="s">
        <v>5</v>
      </c>
      <c r="E3" s="11" t="s">
        <v>6</v>
      </c>
      <c r="F3" s="9" t="s">
        <v>7</v>
      </c>
      <c r="G3" s="10" t="s">
        <v>8</v>
      </c>
      <c r="H3" s="10" t="s">
        <v>9</v>
      </c>
      <c r="I3" s="9" t="s">
        <v>10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5" x14ac:dyDescent="0.35">
      <c r="A4" s="12">
        <v>1</v>
      </c>
      <c r="B4" s="12">
        <v>2</v>
      </c>
      <c r="C4" s="12">
        <v>3</v>
      </c>
      <c r="D4" s="12">
        <v>4</v>
      </c>
      <c r="E4" s="13">
        <v>5</v>
      </c>
      <c r="F4" s="12">
        <v>6</v>
      </c>
      <c r="G4" s="12">
        <v>7</v>
      </c>
      <c r="H4" s="12"/>
      <c r="I4" s="12">
        <v>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84" customHeight="1" x14ac:dyDescent="0.35">
      <c r="A5" s="14" t="s">
        <v>11</v>
      </c>
      <c r="B5" s="15" t="s">
        <v>12</v>
      </c>
      <c r="C5" s="15" t="s">
        <v>13</v>
      </c>
      <c r="D5" s="16" t="s">
        <v>14</v>
      </c>
      <c r="E5" s="28">
        <v>50000000</v>
      </c>
      <c r="F5" s="16" t="s">
        <v>15</v>
      </c>
      <c r="G5" s="16">
        <v>1</v>
      </c>
      <c r="H5" s="19" t="s">
        <v>16</v>
      </c>
      <c r="I5" s="16" t="s">
        <v>17</v>
      </c>
      <c r="J5" s="17" t="s">
        <v>11</v>
      </c>
      <c r="K5" s="17" t="s">
        <v>11</v>
      </c>
      <c r="L5" s="18" t="s">
        <v>18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84" customHeight="1" x14ac:dyDescent="0.35">
      <c r="A6" s="16" t="s">
        <v>19</v>
      </c>
      <c r="B6" s="15" t="s">
        <v>20</v>
      </c>
      <c r="C6" s="15" t="s">
        <v>21</v>
      </c>
      <c r="D6" s="16" t="s">
        <v>22</v>
      </c>
      <c r="E6" s="28">
        <v>110000000</v>
      </c>
      <c r="F6" s="16" t="s">
        <v>15</v>
      </c>
      <c r="G6" s="16">
        <v>1</v>
      </c>
      <c r="H6" s="19" t="s">
        <v>23</v>
      </c>
      <c r="I6" s="16" t="s">
        <v>17</v>
      </c>
      <c r="J6" s="18" t="s">
        <v>19</v>
      </c>
      <c r="K6" s="18" t="s">
        <v>19</v>
      </c>
      <c r="L6" s="18" t="s">
        <v>18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ht="65" x14ac:dyDescent="0.35">
      <c r="A7" s="16" t="s">
        <v>24</v>
      </c>
      <c r="B7" s="19" t="s">
        <v>25</v>
      </c>
      <c r="C7" s="15" t="s">
        <v>26</v>
      </c>
      <c r="D7" s="16" t="s">
        <v>27</v>
      </c>
      <c r="E7" s="28">
        <v>117200000</v>
      </c>
      <c r="F7" s="16" t="s">
        <v>15</v>
      </c>
      <c r="G7" s="16">
        <v>1</v>
      </c>
      <c r="H7" s="19" t="s">
        <v>28</v>
      </c>
      <c r="I7" s="16" t="s">
        <v>17</v>
      </c>
      <c r="J7" s="18" t="s">
        <v>24</v>
      </c>
      <c r="K7" s="18" t="s">
        <v>24</v>
      </c>
      <c r="L7" s="18" t="s">
        <v>29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 ht="84" customHeight="1" x14ac:dyDescent="0.35">
      <c r="A8" s="16" t="s">
        <v>30</v>
      </c>
      <c r="B8" s="19" t="s">
        <v>31</v>
      </c>
      <c r="C8" s="15" t="s">
        <v>32</v>
      </c>
      <c r="D8" s="16" t="s">
        <v>22</v>
      </c>
      <c r="E8" s="28">
        <v>99980000</v>
      </c>
      <c r="F8" s="16" t="s">
        <v>15</v>
      </c>
      <c r="G8" s="16">
        <v>1</v>
      </c>
      <c r="H8" s="19" t="s">
        <v>33</v>
      </c>
      <c r="I8" s="16" t="s">
        <v>17</v>
      </c>
      <c r="J8" s="18" t="s">
        <v>30</v>
      </c>
      <c r="K8" s="18" t="s">
        <v>30</v>
      </c>
      <c r="L8" s="18" t="s">
        <v>18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ht="84" customHeight="1" x14ac:dyDescent="0.35">
      <c r="A9" s="16" t="s">
        <v>34</v>
      </c>
      <c r="B9" s="19" t="s">
        <v>35</v>
      </c>
      <c r="C9" s="15" t="s">
        <v>36</v>
      </c>
      <c r="D9" s="16" t="s">
        <v>22</v>
      </c>
      <c r="E9" s="28">
        <v>29400000</v>
      </c>
      <c r="F9" s="16" t="s">
        <v>15</v>
      </c>
      <c r="G9" s="16">
        <v>1</v>
      </c>
      <c r="H9" s="19" t="s">
        <v>37</v>
      </c>
      <c r="I9" s="16" t="s">
        <v>17</v>
      </c>
      <c r="J9" s="18" t="s">
        <v>34</v>
      </c>
      <c r="K9" s="18" t="s">
        <v>34</v>
      </c>
      <c r="L9" s="18" t="s">
        <v>29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61.5" customHeight="1" x14ac:dyDescent="0.35">
      <c r="A10" s="16" t="s">
        <v>38</v>
      </c>
      <c r="B10" s="19" t="s">
        <v>39</v>
      </c>
      <c r="C10" s="15" t="s">
        <v>40</v>
      </c>
      <c r="D10" s="16">
        <v>2023</v>
      </c>
      <c r="E10" s="28">
        <v>29700000</v>
      </c>
      <c r="F10" s="16" t="s">
        <v>15</v>
      </c>
      <c r="G10" s="16">
        <v>1</v>
      </c>
      <c r="H10" s="19" t="s">
        <v>41</v>
      </c>
      <c r="I10" s="16" t="s">
        <v>17</v>
      </c>
      <c r="J10" s="18" t="s">
        <v>38</v>
      </c>
      <c r="K10" s="18" t="s">
        <v>38</v>
      </c>
      <c r="L10" s="18" t="s">
        <v>29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63.5" customHeight="1" x14ac:dyDescent="0.35">
      <c r="A11" s="16" t="s">
        <v>42</v>
      </c>
      <c r="B11" s="19" t="s">
        <v>43</v>
      </c>
      <c r="C11" s="15" t="s">
        <v>44</v>
      </c>
      <c r="D11" s="16" t="s">
        <v>22</v>
      </c>
      <c r="E11" s="28">
        <v>109590000</v>
      </c>
      <c r="F11" s="16" t="s">
        <v>15</v>
      </c>
      <c r="G11" s="16">
        <v>1</v>
      </c>
      <c r="H11" s="19" t="s">
        <v>45</v>
      </c>
      <c r="I11" s="16" t="s">
        <v>17</v>
      </c>
      <c r="J11" s="18" t="s">
        <v>42</v>
      </c>
      <c r="K11" s="18" t="s">
        <v>42</v>
      </c>
      <c r="L11" s="18" t="s">
        <v>18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 ht="39" x14ac:dyDescent="0.35">
      <c r="A12" s="16" t="s">
        <v>46</v>
      </c>
      <c r="B12" s="19" t="s">
        <v>47</v>
      </c>
      <c r="C12" s="15" t="s">
        <v>48</v>
      </c>
      <c r="D12" s="16">
        <v>2023</v>
      </c>
      <c r="E12" s="28">
        <v>46400000</v>
      </c>
      <c r="F12" s="16" t="s">
        <v>15</v>
      </c>
      <c r="G12" s="16">
        <v>1</v>
      </c>
      <c r="H12" s="15" t="s">
        <v>49</v>
      </c>
      <c r="I12" s="16" t="s">
        <v>17</v>
      </c>
      <c r="J12" s="18" t="s">
        <v>46</v>
      </c>
      <c r="K12" s="18" t="s">
        <v>46</v>
      </c>
      <c r="L12" s="18" t="s">
        <v>18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39" x14ac:dyDescent="0.35">
      <c r="A13" s="16" t="s">
        <v>50</v>
      </c>
      <c r="B13" s="19" t="s">
        <v>51</v>
      </c>
      <c r="C13" s="19" t="s">
        <v>21</v>
      </c>
      <c r="D13" s="16" t="s">
        <v>22</v>
      </c>
      <c r="E13" s="28">
        <v>385331300</v>
      </c>
      <c r="F13" s="16" t="s">
        <v>15</v>
      </c>
      <c r="G13" s="16">
        <v>0</v>
      </c>
      <c r="H13" s="19"/>
      <c r="I13" s="16" t="str">
        <f>I5</f>
        <v>Sesuai</v>
      </c>
      <c r="J13" s="18"/>
      <c r="K13" s="18" t="s">
        <v>50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ht="58.5" customHeight="1" x14ac:dyDescent="0.35">
      <c r="A14" s="16" t="s">
        <v>52</v>
      </c>
      <c r="B14" s="19" t="s">
        <v>53</v>
      </c>
      <c r="C14" s="19" t="s">
        <v>54</v>
      </c>
      <c r="D14" s="16">
        <v>2023</v>
      </c>
      <c r="E14" s="29"/>
      <c r="F14" s="16" t="s">
        <v>15</v>
      </c>
      <c r="G14" s="16">
        <v>5</v>
      </c>
      <c r="H14" s="19" t="s">
        <v>55</v>
      </c>
      <c r="I14" s="16" t="s">
        <v>17</v>
      </c>
      <c r="J14" s="17" t="s">
        <v>50</v>
      </c>
      <c r="K14" s="18" t="s">
        <v>52</v>
      </c>
      <c r="L14" s="18" t="s">
        <v>56</v>
      </c>
      <c r="M14" s="20" t="s">
        <v>57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ht="56.5" customHeight="1" x14ac:dyDescent="0.35">
      <c r="A15" s="16" t="s">
        <v>58</v>
      </c>
      <c r="B15" s="19" t="s">
        <v>59</v>
      </c>
      <c r="C15" s="19" t="s">
        <v>60</v>
      </c>
      <c r="D15" s="16">
        <v>2023</v>
      </c>
      <c r="E15" s="29"/>
      <c r="F15" s="16" t="s">
        <v>15</v>
      </c>
      <c r="G15" s="16">
        <v>3</v>
      </c>
      <c r="H15" s="19" t="s">
        <v>61</v>
      </c>
      <c r="I15" s="16" t="s">
        <v>17</v>
      </c>
      <c r="J15" s="18" t="s">
        <v>52</v>
      </c>
      <c r="K15" s="18" t="s">
        <v>58</v>
      </c>
      <c r="L15" s="18" t="s">
        <v>56</v>
      </c>
      <c r="M15" s="20" t="s">
        <v>62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ht="58.5" customHeight="1" x14ac:dyDescent="0.35">
      <c r="A16" s="16" t="s">
        <v>63</v>
      </c>
      <c r="B16" s="19" t="s">
        <v>64</v>
      </c>
      <c r="C16" s="19" t="s">
        <v>65</v>
      </c>
      <c r="D16" s="16">
        <v>2023</v>
      </c>
      <c r="E16" s="29"/>
      <c r="F16" s="16" t="s">
        <v>15</v>
      </c>
      <c r="G16" s="16">
        <v>3</v>
      </c>
      <c r="H16" s="19" t="s">
        <v>66</v>
      </c>
      <c r="I16" s="16" t="s">
        <v>17</v>
      </c>
      <c r="J16" s="18" t="s">
        <v>58</v>
      </c>
      <c r="K16" s="18" t="s">
        <v>63</v>
      </c>
      <c r="L16" s="18" t="s">
        <v>56</v>
      </c>
      <c r="M16" s="20" t="s">
        <v>67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ht="104.5" customHeight="1" x14ac:dyDescent="0.35">
      <c r="A17" s="16" t="s">
        <v>68</v>
      </c>
      <c r="B17" s="30" t="s">
        <v>39</v>
      </c>
      <c r="C17" s="30" t="s">
        <v>69</v>
      </c>
      <c r="D17" s="31">
        <v>2023</v>
      </c>
      <c r="E17" s="32" t="s">
        <v>70</v>
      </c>
      <c r="F17" s="16" t="s">
        <v>15</v>
      </c>
      <c r="G17" s="31">
        <v>1</v>
      </c>
      <c r="H17" s="30" t="s">
        <v>71</v>
      </c>
      <c r="I17" s="16" t="s">
        <v>17</v>
      </c>
      <c r="J17" s="18" t="s">
        <v>63</v>
      </c>
      <c r="K17" s="18" t="s">
        <v>68</v>
      </c>
      <c r="L17" s="21" t="s">
        <v>29</v>
      </c>
      <c r="M17" s="21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ht="84" customHeight="1" x14ac:dyDescent="0.35">
      <c r="A18" s="16" t="s">
        <v>72</v>
      </c>
      <c r="B18" s="30" t="s">
        <v>73</v>
      </c>
      <c r="C18" s="30" t="s">
        <v>74</v>
      </c>
      <c r="D18" s="31" t="s">
        <v>75</v>
      </c>
      <c r="E18" s="32" t="s">
        <v>76</v>
      </c>
      <c r="F18" s="16" t="s">
        <v>15</v>
      </c>
      <c r="G18" s="31">
        <v>2</v>
      </c>
      <c r="H18" s="30" t="s">
        <v>77</v>
      </c>
      <c r="I18" s="16" t="s">
        <v>17</v>
      </c>
      <c r="J18" s="18" t="s">
        <v>68</v>
      </c>
      <c r="K18" s="18" t="s">
        <v>72</v>
      </c>
      <c r="L18" s="21" t="s">
        <v>29</v>
      </c>
      <c r="M18" s="22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ht="84" customHeight="1" x14ac:dyDescent="0.35">
      <c r="A19" s="16" t="s">
        <v>78</v>
      </c>
      <c r="B19" s="30" t="s">
        <v>79</v>
      </c>
      <c r="C19" s="30" t="s">
        <v>80</v>
      </c>
      <c r="D19" s="31" t="s">
        <v>75</v>
      </c>
      <c r="E19" s="32" t="s">
        <v>81</v>
      </c>
      <c r="F19" s="16" t="s">
        <v>15</v>
      </c>
      <c r="G19" s="31">
        <v>9</v>
      </c>
      <c r="H19" s="30" t="s">
        <v>82</v>
      </c>
      <c r="I19" s="16" t="s">
        <v>17</v>
      </c>
      <c r="J19" s="18" t="s">
        <v>72</v>
      </c>
      <c r="K19" s="18" t="s">
        <v>78</v>
      </c>
      <c r="L19" s="23" t="s">
        <v>83</v>
      </c>
      <c r="M19" s="24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ht="84" customHeight="1" x14ac:dyDescent="0.35">
      <c r="A20" s="16" t="s">
        <v>84</v>
      </c>
      <c r="B20" s="30" t="s">
        <v>85</v>
      </c>
      <c r="C20" s="30" t="s">
        <v>86</v>
      </c>
      <c r="D20" s="31">
        <v>2023</v>
      </c>
      <c r="E20" s="32" t="s">
        <v>87</v>
      </c>
      <c r="F20" s="16" t="s">
        <v>15</v>
      </c>
      <c r="G20" s="31">
        <v>1</v>
      </c>
      <c r="H20" s="30" t="s">
        <v>88</v>
      </c>
      <c r="I20" s="16" t="s">
        <v>17</v>
      </c>
      <c r="J20" s="18" t="s">
        <v>78</v>
      </c>
      <c r="K20" s="18" t="s">
        <v>84</v>
      </c>
      <c r="L20" s="21" t="s">
        <v>18</v>
      </c>
      <c r="M20" s="21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ht="260" x14ac:dyDescent="0.35">
      <c r="A21" s="16" t="s">
        <v>89</v>
      </c>
      <c r="B21" s="30" t="s">
        <v>25</v>
      </c>
      <c r="C21" s="30" t="s">
        <v>90</v>
      </c>
      <c r="D21" s="31" t="s">
        <v>91</v>
      </c>
      <c r="E21" s="32">
        <v>0</v>
      </c>
      <c r="F21" s="16" t="s">
        <v>15</v>
      </c>
      <c r="G21" s="31">
        <v>1</v>
      </c>
      <c r="H21" s="30" t="s">
        <v>92</v>
      </c>
      <c r="I21" s="16" t="s">
        <v>17</v>
      </c>
      <c r="J21" s="18" t="s">
        <v>84</v>
      </c>
      <c r="K21" s="18" t="s">
        <v>89</v>
      </c>
      <c r="L21" s="21" t="s">
        <v>18</v>
      </c>
      <c r="M21" s="21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ht="84" customHeight="1" x14ac:dyDescent="0.35">
      <c r="A22" s="16" t="s">
        <v>93</v>
      </c>
      <c r="B22" s="30" t="s">
        <v>47</v>
      </c>
      <c r="C22" s="30" t="s">
        <v>94</v>
      </c>
      <c r="D22" s="31" t="s">
        <v>75</v>
      </c>
      <c r="E22" s="32" t="s">
        <v>95</v>
      </c>
      <c r="F22" s="16" t="s">
        <v>15</v>
      </c>
      <c r="G22" s="31">
        <v>1</v>
      </c>
      <c r="H22" s="30" t="s">
        <v>96</v>
      </c>
      <c r="I22" s="16" t="s">
        <v>17</v>
      </c>
      <c r="J22" s="18" t="s">
        <v>89</v>
      </c>
      <c r="K22" s="18" t="s">
        <v>93</v>
      </c>
      <c r="L22" s="21" t="s">
        <v>18</v>
      </c>
      <c r="M22" s="25" t="s">
        <v>97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ht="84" customHeight="1" x14ac:dyDescent="0.35">
      <c r="A23" s="16" t="s">
        <v>98</v>
      </c>
      <c r="B23" s="30" t="s">
        <v>99</v>
      </c>
      <c r="C23" s="30" t="s">
        <v>100</v>
      </c>
      <c r="D23" s="31" t="s">
        <v>75</v>
      </c>
      <c r="E23" s="32" t="s">
        <v>76</v>
      </c>
      <c r="F23" s="16" t="s">
        <v>15</v>
      </c>
      <c r="G23" s="31">
        <v>1</v>
      </c>
      <c r="H23" s="30" t="s">
        <v>101</v>
      </c>
      <c r="I23" s="16" t="s">
        <v>17</v>
      </c>
      <c r="J23" s="18" t="s">
        <v>93</v>
      </c>
      <c r="K23" s="18" t="s">
        <v>98</v>
      </c>
      <c r="L23" s="21" t="s">
        <v>29</v>
      </c>
      <c r="M23" s="21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ht="84" customHeight="1" x14ac:dyDescent="0.35">
      <c r="A24" s="16" t="s">
        <v>102</v>
      </c>
      <c r="B24" s="30" t="s">
        <v>103</v>
      </c>
      <c r="C24" s="30" t="s">
        <v>104</v>
      </c>
      <c r="D24" s="31" t="s">
        <v>75</v>
      </c>
      <c r="E24" s="32" t="s">
        <v>105</v>
      </c>
      <c r="F24" s="16" t="s">
        <v>15</v>
      </c>
      <c r="G24" s="31">
        <v>1</v>
      </c>
      <c r="H24" s="30" t="s">
        <v>106</v>
      </c>
      <c r="I24" s="16" t="s">
        <v>17</v>
      </c>
      <c r="J24" s="18" t="s">
        <v>98</v>
      </c>
      <c r="K24" s="18" t="s">
        <v>102</v>
      </c>
      <c r="L24" s="21" t="s">
        <v>29</v>
      </c>
      <c r="M24" s="21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ht="84" customHeight="1" x14ac:dyDescent="0.35">
      <c r="A25" s="16" t="s">
        <v>107</v>
      </c>
      <c r="B25" s="30" t="s">
        <v>108</v>
      </c>
      <c r="C25" s="30" t="s">
        <v>109</v>
      </c>
      <c r="D25" s="31" t="s">
        <v>75</v>
      </c>
      <c r="E25" s="32" t="s">
        <v>76</v>
      </c>
      <c r="F25" s="16" t="s">
        <v>15</v>
      </c>
      <c r="G25" s="31">
        <v>2</v>
      </c>
      <c r="H25" s="30" t="s">
        <v>110</v>
      </c>
      <c r="I25" s="16" t="s">
        <v>17</v>
      </c>
      <c r="J25" s="18" t="s">
        <v>102</v>
      </c>
      <c r="K25" s="18" t="s">
        <v>107</v>
      </c>
      <c r="L25" s="21" t="s">
        <v>29</v>
      </c>
      <c r="M25" s="25" t="s">
        <v>111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ht="147" customHeight="1" x14ac:dyDescent="0.35">
      <c r="A26" s="16" t="s">
        <v>112</v>
      </c>
      <c r="B26" s="30" t="s">
        <v>113</v>
      </c>
      <c r="C26" s="30" t="s">
        <v>114</v>
      </c>
      <c r="D26" s="31" t="s">
        <v>75</v>
      </c>
      <c r="E26" s="32" t="s">
        <v>76</v>
      </c>
      <c r="F26" s="16" t="s">
        <v>15</v>
      </c>
      <c r="G26" s="31">
        <v>1</v>
      </c>
      <c r="H26" s="30" t="s">
        <v>115</v>
      </c>
      <c r="I26" s="16" t="s">
        <v>17</v>
      </c>
      <c r="J26" s="18" t="s">
        <v>107</v>
      </c>
      <c r="K26" s="18" t="s">
        <v>112</v>
      </c>
      <c r="L26" s="21" t="s">
        <v>29</v>
      </c>
      <c r="M26" s="22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84" customHeight="1" x14ac:dyDescent="0.35">
      <c r="A27" s="16" t="s">
        <v>116</v>
      </c>
      <c r="B27" s="30" t="s">
        <v>117</v>
      </c>
      <c r="C27" s="30" t="s">
        <v>118</v>
      </c>
      <c r="D27" s="31" t="s">
        <v>75</v>
      </c>
      <c r="E27" s="32" t="s">
        <v>119</v>
      </c>
      <c r="F27" s="16" t="s">
        <v>15</v>
      </c>
      <c r="G27" s="30"/>
      <c r="H27" s="30"/>
      <c r="I27" s="16" t="s">
        <v>17</v>
      </c>
      <c r="J27" s="18"/>
      <c r="K27" s="18" t="s">
        <v>116</v>
      </c>
      <c r="L27" s="23"/>
      <c r="M27" s="26" t="s">
        <v>120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ht="84" customHeight="1" x14ac:dyDescent="0.35">
      <c r="A28" s="16" t="s">
        <v>121</v>
      </c>
      <c r="B28" s="30" t="s">
        <v>122</v>
      </c>
      <c r="C28" s="30" t="s">
        <v>123</v>
      </c>
      <c r="D28" s="31">
        <v>2023</v>
      </c>
      <c r="E28" s="32" t="s">
        <v>124</v>
      </c>
      <c r="F28" s="16" t="s">
        <v>15</v>
      </c>
      <c r="G28" s="31">
        <v>3</v>
      </c>
      <c r="H28" s="30" t="s">
        <v>125</v>
      </c>
      <c r="I28" s="16" t="s">
        <v>17</v>
      </c>
      <c r="J28" s="17" t="s">
        <v>112</v>
      </c>
      <c r="K28" s="18" t="s">
        <v>121</v>
      </c>
      <c r="L28" s="21" t="s">
        <v>56</v>
      </c>
      <c r="M28" s="21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ht="84" customHeight="1" x14ac:dyDescent="0.35">
      <c r="A29" s="16" t="s">
        <v>126</v>
      </c>
      <c r="B29" s="30" t="s">
        <v>127</v>
      </c>
      <c r="C29" s="30" t="s">
        <v>128</v>
      </c>
      <c r="D29" s="31">
        <v>2023</v>
      </c>
      <c r="E29" s="28">
        <v>0</v>
      </c>
      <c r="F29" s="16" t="s">
        <v>129</v>
      </c>
      <c r="G29" s="31">
        <v>3</v>
      </c>
      <c r="H29" s="30" t="s">
        <v>130</v>
      </c>
      <c r="I29" s="16" t="s">
        <v>17</v>
      </c>
      <c r="J29" s="18" t="s">
        <v>116</v>
      </c>
      <c r="K29" s="18"/>
      <c r="L29" s="17" t="s">
        <v>11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1:29" ht="84" customHeight="1" x14ac:dyDescent="0.35">
      <c r="A30" s="16" t="s">
        <v>131</v>
      </c>
      <c r="B30" s="30" t="s">
        <v>132</v>
      </c>
      <c r="C30" s="30" t="s">
        <v>133</v>
      </c>
      <c r="D30" s="31">
        <v>2023</v>
      </c>
      <c r="E30" s="28">
        <v>0</v>
      </c>
      <c r="F30" s="16" t="s">
        <v>129</v>
      </c>
      <c r="G30" s="31">
        <v>3</v>
      </c>
      <c r="H30" s="30" t="s">
        <v>134</v>
      </c>
      <c r="I30" s="16" t="s">
        <v>17</v>
      </c>
      <c r="J30" s="18" t="s">
        <v>121</v>
      </c>
      <c r="K30" s="18"/>
      <c r="L30" s="18" t="s">
        <v>19</v>
      </c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ht="84" customHeight="1" x14ac:dyDescent="0.35">
      <c r="A31" s="16" t="s">
        <v>135</v>
      </c>
      <c r="B31" s="30" t="s">
        <v>136</v>
      </c>
      <c r="C31" s="30" t="s">
        <v>137</v>
      </c>
      <c r="D31" s="31">
        <v>2023</v>
      </c>
      <c r="E31" s="28">
        <v>0</v>
      </c>
      <c r="F31" s="16" t="s">
        <v>129</v>
      </c>
      <c r="G31" s="31">
        <v>3</v>
      </c>
      <c r="H31" s="30" t="s">
        <v>138</v>
      </c>
      <c r="I31" s="16" t="s">
        <v>17</v>
      </c>
      <c r="J31" s="18" t="s">
        <v>126</v>
      </c>
      <c r="K31" s="18"/>
      <c r="L31" s="18" t="s">
        <v>24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1:29" ht="84" customHeight="1" x14ac:dyDescent="0.35">
      <c r="A32" s="16" t="s">
        <v>139</v>
      </c>
      <c r="B32" s="30" t="s">
        <v>140</v>
      </c>
      <c r="C32" s="30" t="s">
        <v>141</v>
      </c>
      <c r="D32" s="31">
        <v>2023</v>
      </c>
      <c r="E32" s="28">
        <v>0</v>
      </c>
      <c r="F32" s="16" t="s">
        <v>129</v>
      </c>
      <c r="G32" s="31">
        <v>5</v>
      </c>
      <c r="H32" s="30" t="s">
        <v>142</v>
      </c>
      <c r="I32" s="16" t="s">
        <v>17</v>
      </c>
      <c r="J32" s="18" t="s">
        <v>131</v>
      </c>
      <c r="K32" s="18"/>
      <c r="L32" s="18" t="s">
        <v>30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ht="84" customHeight="1" x14ac:dyDescent="0.35">
      <c r="A33" s="16" t="s">
        <v>143</v>
      </c>
      <c r="B33" s="30" t="s">
        <v>144</v>
      </c>
      <c r="C33" s="30" t="s">
        <v>145</v>
      </c>
      <c r="D33" s="31">
        <v>2023</v>
      </c>
      <c r="E33" s="28">
        <v>0</v>
      </c>
      <c r="F33" s="16" t="s">
        <v>129</v>
      </c>
      <c r="G33" s="31">
        <v>5</v>
      </c>
      <c r="H33" s="30" t="s">
        <v>146</v>
      </c>
      <c r="I33" s="16" t="s">
        <v>17</v>
      </c>
      <c r="J33" s="18" t="s">
        <v>135</v>
      </c>
      <c r="K33" s="18"/>
      <c r="L33" s="18" t="s">
        <v>34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70.5" customHeight="1" x14ac:dyDescent="0.35">
      <c r="A34" s="16" t="s">
        <v>147</v>
      </c>
      <c r="B34" s="30" t="s">
        <v>148</v>
      </c>
      <c r="C34" s="30" t="s">
        <v>149</v>
      </c>
      <c r="D34" s="31">
        <v>2023</v>
      </c>
      <c r="E34" s="28">
        <v>0</v>
      </c>
      <c r="F34" s="16" t="s">
        <v>129</v>
      </c>
      <c r="G34" s="31">
        <v>5</v>
      </c>
      <c r="H34" s="30" t="s">
        <v>150</v>
      </c>
      <c r="I34" s="16" t="s">
        <v>17</v>
      </c>
      <c r="J34" s="18" t="s">
        <v>139</v>
      </c>
      <c r="K34" s="18"/>
      <c r="L34" s="18" t="s">
        <v>38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66" customHeight="1" x14ac:dyDescent="0.35">
      <c r="A35" s="16" t="s">
        <v>151</v>
      </c>
      <c r="B35" s="30" t="s">
        <v>152</v>
      </c>
      <c r="C35" s="30" t="s">
        <v>153</v>
      </c>
      <c r="D35" s="31">
        <v>2023</v>
      </c>
      <c r="E35" s="28">
        <v>0</v>
      </c>
      <c r="F35" s="16" t="s">
        <v>129</v>
      </c>
      <c r="G35" s="31">
        <v>5</v>
      </c>
      <c r="H35" s="30" t="s">
        <v>154</v>
      </c>
      <c r="I35" s="16" t="s">
        <v>17</v>
      </c>
      <c r="J35" s="18" t="s">
        <v>143</v>
      </c>
      <c r="K35" s="18"/>
      <c r="L35" s="18" t="s">
        <v>42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84" customHeight="1" x14ac:dyDescent="0.35">
      <c r="A36" s="16" t="s">
        <v>155</v>
      </c>
      <c r="B36" s="30" t="s">
        <v>156</v>
      </c>
      <c r="C36" s="30" t="s">
        <v>157</v>
      </c>
      <c r="D36" s="31">
        <v>2023</v>
      </c>
      <c r="E36" s="28">
        <v>0</v>
      </c>
      <c r="F36" s="16" t="s">
        <v>129</v>
      </c>
      <c r="G36" s="31">
        <v>3</v>
      </c>
      <c r="H36" s="30" t="s">
        <v>158</v>
      </c>
      <c r="I36" s="16" t="s">
        <v>17</v>
      </c>
      <c r="J36" s="18" t="s">
        <v>147</v>
      </c>
      <c r="K36" s="18"/>
      <c r="L36" s="18" t="s">
        <v>46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84" customHeight="1" x14ac:dyDescent="0.35">
      <c r="A37" s="16" t="s">
        <v>159</v>
      </c>
      <c r="B37" s="30" t="s">
        <v>160</v>
      </c>
      <c r="C37" s="30" t="s">
        <v>161</v>
      </c>
      <c r="D37" s="31">
        <v>2023</v>
      </c>
      <c r="E37" s="28">
        <v>0</v>
      </c>
      <c r="F37" s="16" t="s">
        <v>129</v>
      </c>
      <c r="G37" s="31">
        <v>4</v>
      </c>
      <c r="H37" s="30" t="s">
        <v>162</v>
      </c>
      <c r="I37" s="16" t="s">
        <v>17</v>
      </c>
      <c r="J37" s="18" t="s">
        <v>151</v>
      </c>
      <c r="K37" s="18"/>
      <c r="L37" s="18" t="s">
        <v>50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84" customHeight="1" x14ac:dyDescent="0.35">
      <c r="A38" s="16" t="s">
        <v>163</v>
      </c>
      <c r="B38" s="30" t="s">
        <v>164</v>
      </c>
      <c r="C38" s="30" t="s">
        <v>165</v>
      </c>
      <c r="D38" s="31">
        <v>2023</v>
      </c>
      <c r="E38" s="28">
        <v>0</v>
      </c>
      <c r="F38" s="16" t="s">
        <v>129</v>
      </c>
      <c r="G38" s="31">
        <v>3</v>
      </c>
      <c r="H38" s="30" t="s">
        <v>166</v>
      </c>
      <c r="I38" s="16" t="s">
        <v>17</v>
      </c>
      <c r="J38" s="18" t="s">
        <v>155</v>
      </c>
      <c r="K38" s="18"/>
      <c r="L38" s="18" t="s">
        <v>52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84" customHeight="1" x14ac:dyDescent="0.35">
      <c r="A39" s="16" t="s">
        <v>167</v>
      </c>
      <c r="B39" s="30" t="s">
        <v>168</v>
      </c>
      <c r="C39" s="30" t="s">
        <v>169</v>
      </c>
      <c r="D39" s="31">
        <v>2023</v>
      </c>
      <c r="E39" s="28">
        <v>0</v>
      </c>
      <c r="F39" s="16" t="s">
        <v>129</v>
      </c>
      <c r="G39" s="31">
        <v>3</v>
      </c>
      <c r="H39" s="30" t="s">
        <v>170</v>
      </c>
      <c r="I39" s="16" t="s">
        <v>17</v>
      </c>
      <c r="J39" s="18" t="s">
        <v>159</v>
      </c>
      <c r="K39" s="18"/>
      <c r="L39" s="18" t="s">
        <v>58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84" customHeight="1" x14ac:dyDescent="0.35">
      <c r="A40" s="16" t="s">
        <v>171</v>
      </c>
      <c r="B40" s="30" t="s">
        <v>172</v>
      </c>
      <c r="C40" s="30" t="s">
        <v>21</v>
      </c>
      <c r="D40" s="31">
        <v>2023</v>
      </c>
      <c r="E40" s="28">
        <v>0</v>
      </c>
      <c r="F40" s="16" t="s">
        <v>129</v>
      </c>
      <c r="G40" s="31">
        <v>3</v>
      </c>
      <c r="H40" s="30" t="s">
        <v>173</v>
      </c>
      <c r="I40" s="16" t="s">
        <v>17</v>
      </c>
      <c r="J40" s="18" t="s">
        <v>163</v>
      </c>
      <c r="K40" s="18"/>
      <c r="L40" s="18" t="s">
        <v>63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84" customHeight="1" x14ac:dyDescent="0.35">
      <c r="A41" s="16" t="s">
        <v>174</v>
      </c>
      <c r="B41" s="30" t="s">
        <v>175</v>
      </c>
      <c r="C41" s="30" t="s">
        <v>176</v>
      </c>
      <c r="D41" s="31">
        <v>2023</v>
      </c>
      <c r="E41" s="28">
        <v>0</v>
      </c>
      <c r="F41" s="16" t="s">
        <v>129</v>
      </c>
      <c r="G41" s="31">
        <v>3</v>
      </c>
      <c r="H41" s="30" t="s">
        <v>177</v>
      </c>
      <c r="I41" s="16" t="s">
        <v>17</v>
      </c>
      <c r="J41" s="18" t="s">
        <v>167</v>
      </c>
      <c r="K41" s="18"/>
      <c r="L41" s="18" t="s">
        <v>68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84" customHeight="1" x14ac:dyDescent="0.35">
      <c r="A42" s="16" t="s">
        <v>178</v>
      </c>
      <c r="B42" s="30" t="s">
        <v>179</v>
      </c>
      <c r="C42" s="30" t="s">
        <v>180</v>
      </c>
      <c r="D42" s="31">
        <v>2023</v>
      </c>
      <c r="E42" s="28">
        <v>0</v>
      </c>
      <c r="F42" s="16" t="s">
        <v>129</v>
      </c>
      <c r="G42" s="31">
        <v>4</v>
      </c>
      <c r="H42" s="30" t="s">
        <v>181</v>
      </c>
      <c r="I42" s="16" t="s">
        <v>17</v>
      </c>
      <c r="J42" s="18" t="s">
        <v>171</v>
      </c>
      <c r="K42" s="18"/>
      <c r="L42" s="18" t="s">
        <v>72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84" customHeight="1" x14ac:dyDescent="0.35">
      <c r="A43" s="16" t="s">
        <v>182</v>
      </c>
      <c r="B43" s="30" t="s">
        <v>183</v>
      </c>
      <c r="C43" s="30" t="s">
        <v>184</v>
      </c>
      <c r="D43" s="31">
        <v>2023</v>
      </c>
      <c r="E43" s="28">
        <v>0</v>
      </c>
      <c r="F43" s="16" t="s">
        <v>129</v>
      </c>
      <c r="G43" s="31">
        <v>3</v>
      </c>
      <c r="H43" s="30" t="s">
        <v>185</v>
      </c>
      <c r="I43" s="16" t="s">
        <v>17</v>
      </c>
      <c r="J43" s="18" t="s">
        <v>174</v>
      </c>
      <c r="K43" s="18"/>
      <c r="L43" s="18" t="s">
        <v>78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65" x14ac:dyDescent="0.35">
      <c r="A44" s="16" t="s">
        <v>186</v>
      </c>
      <c r="B44" s="30" t="s">
        <v>187</v>
      </c>
      <c r="C44" s="30" t="s">
        <v>188</v>
      </c>
      <c r="D44" s="31">
        <v>2023</v>
      </c>
      <c r="E44" s="28">
        <v>0</v>
      </c>
      <c r="F44" s="16" t="s">
        <v>129</v>
      </c>
      <c r="G44" s="31">
        <v>3</v>
      </c>
      <c r="H44" s="30" t="s">
        <v>189</v>
      </c>
      <c r="I44" s="16" t="s">
        <v>17</v>
      </c>
      <c r="J44" s="18" t="s">
        <v>178</v>
      </c>
      <c r="K44" s="18"/>
      <c r="L44" s="18" t="s">
        <v>84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65" x14ac:dyDescent="0.35">
      <c r="A45" s="16" t="s">
        <v>190</v>
      </c>
      <c r="B45" s="30" t="s">
        <v>191</v>
      </c>
      <c r="C45" s="30" t="s">
        <v>192</v>
      </c>
      <c r="D45" s="31">
        <v>2023</v>
      </c>
      <c r="E45" s="28">
        <v>0</v>
      </c>
      <c r="F45" s="16" t="s">
        <v>129</v>
      </c>
      <c r="G45" s="31">
        <v>4</v>
      </c>
      <c r="H45" s="30" t="s">
        <v>193</v>
      </c>
      <c r="I45" s="16" t="s">
        <v>17</v>
      </c>
      <c r="J45" s="18" t="s">
        <v>182</v>
      </c>
      <c r="K45" s="18"/>
      <c r="L45" s="18" t="s">
        <v>89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84" customHeight="1" x14ac:dyDescent="0.35">
      <c r="A46" s="16" t="s">
        <v>194</v>
      </c>
      <c r="B46" s="30" t="s">
        <v>195</v>
      </c>
      <c r="C46" s="30" t="s">
        <v>196</v>
      </c>
      <c r="D46" s="31">
        <v>2023</v>
      </c>
      <c r="E46" s="28">
        <v>0</v>
      </c>
      <c r="F46" s="16" t="s">
        <v>129</v>
      </c>
      <c r="G46" s="31">
        <v>3</v>
      </c>
      <c r="H46" s="30" t="s">
        <v>197</v>
      </c>
      <c r="I46" s="16" t="s">
        <v>17</v>
      </c>
      <c r="J46" s="18" t="s">
        <v>186</v>
      </c>
      <c r="K46" s="18"/>
      <c r="L46" s="18" t="s">
        <v>93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84" customHeight="1" x14ac:dyDescent="0.35">
      <c r="A47" s="16" t="s">
        <v>198</v>
      </c>
      <c r="B47" s="30" t="s">
        <v>199</v>
      </c>
      <c r="C47" s="30" t="s">
        <v>200</v>
      </c>
      <c r="D47" s="31">
        <v>2023</v>
      </c>
      <c r="E47" s="28">
        <v>0</v>
      </c>
      <c r="F47" s="16" t="s">
        <v>129</v>
      </c>
      <c r="G47" s="31">
        <v>4</v>
      </c>
      <c r="H47" s="30" t="s">
        <v>201</v>
      </c>
      <c r="I47" s="16" t="s">
        <v>17</v>
      </c>
      <c r="J47" s="18" t="s">
        <v>190</v>
      </c>
      <c r="K47" s="18"/>
      <c r="L47" s="18" t="s">
        <v>98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84" customHeight="1" x14ac:dyDescent="0.35">
      <c r="A48" s="16" t="s">
        <v>202</v>
      </c>
      <c r="B48" s="30" t="s">
        <v>203</v>
      </c>
      <c r="C48" s="30" t="s">
        <v>204</v>
      </c>
      <c r="D48" s="31">
        <v>2023</v>
      </c>
      <c r="E48" s="28">
        <v>0</v>
      </c>
      <c r="F48" s="16" t="s">
        <v>129</v>
      </c>
      <c r="G48" s="31">
        <v>4</v>
      </c>
      <c r="H48" s="30" t="s">
        <v>205</v>
      </c>
      <c r="I48" s="16" t="s">
        <v>17</v>
      </c>
      <c r="J48" s="18" t="s">
        <v>194</v>
      </c>
      <c r="K48" s="18"/>
      <c r="L48" s="18" t="s">
        <v>102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84" customHeight="1" x14ac:dyDescent="0.35">
      <c r="A49" s="16" t="s">
        <v>206</v>
      </c>
      <c r="B49" s="30" t="s">
        <v>207</v>
      </c>
      <c r="C49" s="30" t="s">
        <v>208</v>
      </c>
      <c r="D49" s="31">
        <v>2023</v>
      </c>
      <c r="E49" s="28">
        <v>0</v>
      </c>
      <c r="F49" s="16" t="s">
        <v>129</v>
      </c>
      <c r="G49" s="31">
        <v>3</v>
      </c>
      <c r="H49" s="30" t="s">
        <v>209</v>
      </c>
      <c r="I49" s="16" t="s">
        <v>17</v>
      </c>
      <c r="J49" s="18" t="s">
        <v>198</v>
      </c>
      <c r="K49" s="18"/>
      <c r="L49" s="18" t="s">
        <v>107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84" customHeight="1" x14ac:dyDescent="0.35">
      <c r="A50" s="16" t="s">
        <v>210</v>
      </c>
      <c r="B50" s="30" t="s">
        <v>211</v>
      </c>
      <c r="C50" s="30" t="s">
        <v>212</v>
      </c>
      <c r="D50" s="31">
        <v>2023</v>
      </c>
      <c r="E50" s="28">
        <v>0</v>
      </c>
      <c r="F50" s="16" t="s">
        <v>129</v>
      </c>
      <c r="G50" s="31">
        <v>4</v>
      </c>
      <c r="H50" s="30" t="s">
        <v>213</v>
      </c>
      <c r="I50" s="16" t="s">
        <v>17</v>
      </c>
      <c r="J50" s="18" t="s">
        <v>202</v>
      </c>
      <c r="K50" s="18"/>
      <c r="L50" s="18" t="s">
        <v>112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84" customHeight="1" x14ac:dyDescent="0.35">
      <c r="A51" s="16" t="s">
        <v>214</v>
      </c>
      <c r="B51" s="30" t="s">
        <v>215</v>
      </c>
      <c r="C51" s="30" t="s">
        <v>216</v>
      </c>
      <c r="D51" s="31">
        <v>2023</v>
      </c>
      <c r="E51" s="28">
        <v>0</v>
      </c>
      <c r="F51" s="16" t="s">
        <v>129</v>
      </c>
      <c r="G51" s="31">
        <v>3</v>
      </c>
      <c r="H51" s="30" t="s">
        <v>217</v>
      </c>
      <c r="I51" s="16" t="s">
        <v>17</v>
      </c>
      <c r="J51" s="18" t="s">
        <v>206</v>
      </c>
      <c r="K51" s="18"/>
      <c r="L51" s="18" t="s">
        <v>116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84" customHeight="1" x14ac:dyDescent="0.35">
      <c r="A52" s="16" t="s">
        <v>218</v>
      </c>
      <c r="B52" s="30" t="s">
        <v>219</v>
      </c>
      <c r="C52" s="30" t="s">
        <v>220</v>
      </c>
      <c r="D52" s="31">
        <v>2023</v>
      </c>
      <c r="E52" s="28">
        <v>0</v>
      </c>
      <c r="F52" s="16" t="s">
        <v>129</v>
      </c>
      <c r="G52" s="31">
        <v>3</v>
      </c>
      <c r="H52" s="30" t="s">
        <v>221</v>
      </c>
      <c r="I52" s="16" t="s">
        <v>17</v>
      </c>
      <c r="J52" s="18" t="s">
        <v>210</v>
      </c>
      <c r="K52" s="18"/>
      <c r="L52" s="18" t="s">
        <v>121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65" x14ac:dyDescent="0.35">
      <c r="A53" s="16" t="s">
        <v>222</v>
      </c>
      <c r="B53" s="30" t="s">
        <v>223</v>
      </c>
      <c r="C53" s="30" t="s">
        <v>224</v>
      </c>
      <c r="D53" s="31">
        <v>2023</v>
      </c>
      <c r="E53" s="28">
        <v>0</v>
      </c>
      <c r="F53" s="16" t="s">
        <v>129</v>
      </c>
      <c r="G53" s="31">
        <v>3</v>
      </c>
      <c r="H53" s="30" t="s">
        <v>225</v>
      </c>
      <c r="I53" s="16" t="s">
        <v>17</v>
      </c>
      <c r="J53" s="18" t="s">
        <v>214</v>
      </c>
      <c r="K53" s="18"/>
      <c r="L53" s="18" t="s">
        <v>126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65" x14ac:dyDescent="0.35">
      <c r="A54" s="16" t="s">
        <v>226</v>
      </c>
      <c r="B54" s="30" t="s">
        <v>227</v>
      </c>
      <c r="C54" s="30" t="s">
        <v>228</v>
      </c>
      <c r="D54" s="31">
        <v>2023</v>
      </c>
      <c r="E54" s="28">
        <v>0</v>
      </c>
      <c r="F54" s="16" t="s">
        <v>129</v>
      </c>
      <c r="G54" s="31">
        <v>3</v>
      </c>
      <c r="H54" s="30" t="s">
        <v>229</v>
      </c>
      <c r="I54" s="16" t="s">
        <v>17</v>
      </c>
      <c r="J54" s="18" t="s">
        <v>218</v>
      </c>
      <c r="K54" s="18"/>
      <c r="L54" s="18" t="s">
        <v>131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84" customHeight="1" x14ac:dyDescent="0.35">
      <c r="A55" s="16" t="s">
        <v>230</v>
      </c>
      <c r="B55" s="30" t="s">
        <v>231</v>
      </c>
      <c r="C55" s="30" t="s">
        <v>232</v>
      </c>
      <c r="D55" s="31">
        <v>2023</v>
      </c>
      <c r="E55" s="28">
        <v>0</v>
      </c>
      <c r="F55" s="16" t="s">
        <v>129</v>
      </c>
      <c r="G55" s="31">
        <v>4</v>
      </c>
      <c r="H55" s="30" t="s">
        <v>233</v>
      </c>
      <c r="I55" s="16" t="s">
        <v>17</v>
      </c>
      <c r="J55" s="18" t="s">
        <v>222</v>
      </c>
      <c r="K55" s="18"/>
      <c r="L55" s="18" t="s">
        <v>135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84" customHeight="1" x14ac:dyDescent="0.35">
      <c r="A56" s="16" t="s">
        <v>234</v>
      </c>
      <c r="B56" s="30" t="s">
        <v>235</v>
      </c>
      <c r="C56" s="30" t="s">
        <v>236</v>
      </c>
      <c r="D56" s="31">
        <v>2023</v>
      </c>
      <c r="E56" s="28">
        <v>0</v>
      </c>
      <c r="F56" s="16" t="s">
        <v>129</v>
      </c>
      <c r="G56" s="31">
        <v>3</v>
      </c>
      <c r="H56" s="30" t="s">
        <v>237</v>
      </c>
      <c r="I56" s="16" t="s">
        <v>17</v>
      </c>
      <c r="J56" s="18" t="s">
        <v>226</v>
      </c>
      <c r="K56" s="18"/>
      <c r="L56" s="18" t="s">
        <v>139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84" customHeight="1" x14ac:dyDescent="0.35">
      <c r="A57" s="16" t="s">
        <v>238</v>
      </c>
      <c r="B57" s="30" t="s">
        <v>239</v>
      </c>
      <c r="C57" s="30" t="s">
        <v>240</v>
      </c>
      <c r="D57" s="31">
        <v>2023</v>
      </c>
      <c r="E57" s="28">
        <v>0</v>
      </c>
      <c r="F57" s="16" t="s">
        <v>129</v>
      </c>
      <c r="G57" s="31">
        <v>5</v>
      </c>
      <c r="H57" s="30" t="s">
        <v>241</v>
      </c>
      <c r="I57" s="16" t="s">
        <v>17</v>
      </c>
      <c r="J57" s="18" t="s">
        <v>230</v>
      </c>
      <c r="K57" s="18"/>
      <c r="L57" s="18" t="s">
        <v>143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84" customHeight="1" x14ac:dyDescent="0.35">
      <c r="A58" s="16" t="s">
        <v>242</v>
      </c>
      <c r="B58" s="30" t="s">
        <v>243</v>
      </c>
      <c r="C58" s="30" t="s">
        <v>244</v>
      </c>
      <c r="D58" s="31">
        <v>2023</v>
      </c>
      <c r="E58" s="28">
        <v>0</v>
      </c>
      <c r="F58" s="16" t="s">
        <v>129</v>
      </c>
      <c r="G58" s="31">
        <v>3</v>
      </c>
      <c r="H58" s="30" t="s">
        <v>245</v>
      </c>
      <c r="I58" s="16" t="s">
        <v>17</v>
      </c>
      <c r="J58" s="18" t="s">
        <v>234</v>
      </c>
      <c r="K58" s="18"/>
      <c r="L58" s="18" t="s">
        <v>147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84" customHeight="1" x14ac:dyDescent="0.35">
      <c r="A59" s="16" t="s">
        <v>246</v>
      </c>
      <c r="B59" s="30" t="s">
        <v>247</v>
      </c>
      <c r="C59" s="30" t="s">
        <v>248</v>
      </c>
      <c r="D59" s="31">
        <v>2023</v>
      </c>
      <c r="E59" s="28">
        <v>0</v>
      </c>
      <c r="F59" s="16" t="s">
        <v>129</v>
      </c>
      <c r="G59" s="31">
        <v>3</v>
      </c>
      <c r="H59" s="30" t="s">
        <v>249</v>
      </c>
      <c r="I59" s="16" t="s">
        <v>17</v>
      </c>
      <c r="J59" s="18" t="s">
        <v>238</v>
      </c>
      <c r="K59" s="18"/>
      <c r="L59" s="18" t="s">
        <v>151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84" customHeight="1" x14ac:dyDescent="0.35">
      <c r="A60" s="16" t="s">
        <v>250</v>
      </c>
      <c r="B60" s="30" t="s">
        <v>251</v>
      </c>
      <c r="C60" s="30" t="s">
        <v>252</v>
      </c>
      <c r="D60" s="31">
        <v>2023</v>
      </c>
      <c r="E60" s="28">
        <v>0</v>
      </c>
      <c r="F60" s="16" t="s">
        <v>129</v>
      </c>
      <c r="G60" s="31">
        <v>5</v>
      </c>
      <c r="H60" s="30" t="s">
        <v>253</v>
      </c>
      <c r="I60" s="16" t="s">
        <v>17</v>
      </c>
      <c r="J60" s="18" t="s">
        <v>242</v>
      </c>
      <c r="K60" s="18"/>
      <c r="L60" s="18" t="s">
        <v>155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84" customHeight="1" x14ac:dyDescent="0.35">
      <c r="A61" s="16" t="s">
        <v>254</v>
      </c>
      <c r="B61" s="33" t="s">
        <v>255</v>
      </c>
      <c r="C61" s="33" t="s">
        <v>256</v>
      </c>
      <c r="D61" s="34">
        <v>2024</v>
      </c>
      <c r="E61" s="35" t="s">
        <v>257</v>
      </c>
      <c r="F61" s="16" t="s">
        <v>15</v>
      </c>
      <c r="G61" s="16">
        <v>1</v>
      </c>
      <c r="H61" s="33" t="s">
        <v>92</v>
      </c>
      <c r="I61" s="16" t="s">
        <v>17</v>
      </c>
      <c r="J61" s="18" t="s">
        <v>246</v>
      </c>
      <c r="K61" s="17" t="s">
        <v>126</v>
      </c>
      <c r="L61" s="18" t="s">
        <v>18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84" customHeight="1" x14ac:dyDescent="0.35">
      <c r="A62" s="16" t="s">
        <v>258</v>
      </c>
      <c r="B62" s="33" t="s">
        <v>259</v>
      </c>
      <c r="C62" s="33" t="s">
        <v>260</v>
      </c>
      <c r="D62" s="34">
        <v>2024</v>
      </c>
      <c r="E62" s="35" t="s">
        <v>261</v>
      </c>
      <c r="F62" s="16" t="s">
        <v>15</v>
      </c>
      <c r="G62" s="16">
        <v>1</v>
      </c>
      <c r="H62" s="33" t="s">
        <v>262</v>
      </c>
      <c r="I62" s="16" t="s">
        <v>17</v>
      </c>
      <c r="J62" s="18" t="s">
        <v>250</v>
      </c>
      <c r="K62" s="18" t="s">
        <v>131</v>
      </c>
      <c r="L62" s="18" t="s">
        <v>18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78" x14ac:dyDescent="0.35">
      <c r="A63" s="16" t="s">
        <v>263</v>
      </c>
      <c r="B63" s="33" t="s">
        <v>264</v>
      </c>
      <c r="C63" s="33" t="s">
        <v>265</v>
      </c>
      <c r="D63" s="34" t="s">
        <v>266</v>
      </c>
      <c r="E63" s="35" t="s">
        <v>267</v>
      </c>
      <c r="F63" s="16" t="s">
        <v>15</v>
      </c>
      <c r="G63" s="16">
        <v>1</v>
      </c>
      <c r="H63" s="33" t="s">
        <v>268</v>
      </c>
      <c r="I63" s="16" t="s">
        <v>17</v>
      </c>
      <c r="J63" s="18" t="s">
        <v>254</v>
      </c>
      <c r="K63" s="18" t="s">
        <v>135</v>
      </c>
      <c r="L63" s="18" t="s">
        <v>29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84" customHeight="1" x14ac:dyDescent="0.35">
      <c r="A64" s="16" t="s">
        <v>269</v>
      </c>
      <c r="B64" s="33" t="s">
        <v>270</v>
      </c>
      <c r="C64" s="33" t="s">
        <v>271</v>
      </c>
      <c r="D64" s="34" t="s">
        <v>272</v>
      </c>
      <c r="E64" s="35" t="s">
        <v>273</v>
      </c>
      <c r="F64" s="16" t="s">
        <v>15</v>
      </c>
      <c r="G64" s="16">
        <v>0</v>
      </c>
      <c r="H64" s="33"/>
      <c r="I64" s="16" t="s">
        <v>17</v>
      </c>
      <c r="J64" s="18"/>
      <c r="K64" s="18" t="s">
        <v>139</v>
      </c>
      <c r="L64" s="1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84" customHeight="1" x14ac:dyDescent="0.35">
      <c r="A65" s="16" t="s">
        <v>274</v>
      </c>
      <c r="B65" s="33" t="s">
        <v>275</v>
      </c>
      <c r="C65" s="33" t="s">
        <v>276</v>
      </c>
      <c r="D65" s="34" t="s">
        <v>272</v>
      </c>
      <c r="E65" s="35" t="s">
        <v>277</v>
      </c>
      <c r="F65" s="16" t="s">
        <v>15</v>
      </c>
      <c r="G65" s="16">
        <v>2</v>
      </c>
      <c r="H65" s="33" t="s">
        <v>278</v>
      </c>
      <c r="I65" s="16" t="s">
        <v>17</v>
      </c>
      <c r="J65" s="17" t="s">
        <v>258</v>
      </c>
      <c r="K65" s="18" t="s">
        <v>143</v>
      </c>
      <c r="L65" s="18" t="s">
        <v>18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84" customHeight="1" x14ac:dyDescent="0.35">
      <c r="A66" s="16" t="s">
        <v>279</v>
      </c>
      <c r="B66" s="33" t="s">
        <v>47</v>
      </c>
      <c r="C66" s="33" t="s">
        <v>94</v>
      </c>
      <c r="D66" s="34">
        <v>2024</v>
      </c>
      <c r="E66" s="35" t="s">
        <v>280</v>
      </c>
      <c r="F66" s="16" t="s">
        <v>15</v>
      </c>
      <c r="G66" s="16">
        <v>1</v>
      </c>
      <c r="H66" s="33" t="s">
        <v>96</v>
      </c>
      <c r="I66" s="16" t="s">
        <v>17</v>
      </c>
      <c r="J66" s="18" t="s">
        <v>263</v>
      </c>
      <c r="K66" s="18" t="s">
        <v>147</v>
      </c>
      <c r="L66" s="18" t="s">
        <v>18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84" customHeight="1" x14ac:dyDescent="0.35">
      <c r="A67" s="16" t="s">
        <v>281</v>
      </c>
      <c r="B67" s="33" t="s">
        <v>282</v>
      </c>
      <c r="C67" s="33" t="s">
        <v>283</v>
      </c>
      <c r="D67" s="34">
        <v>2024</v>
      </c>
      <c r="E67" s="35" t="s">
        <v>284</v>
      </c>
      <c r="F67" s="16" t="s">
        <v>15</v>
      </c>
      <c r="G67" s="16">
        <v>4</v>
      </c>
      <c r="H67" s="33" t="s">
        <v>285</v>
      </c>
      <c r="I67" s="16" t="s">
        <v>17</v>
      </c>
      <c r="J67" s="18" t="s">
        <v>269</v>
      </c>
      <c r="K67" s="18" t="s">
        <v>151</v>
      </c>
      <c r="L67" s="18" t="s">
        <v>56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84" customHeight="1" x14ac:dyDescent="0.35">
      <c r="A68" s="16" t="s">
        <v>286</v>
      </c>
      <c r="B68" s="33" t="s">
        <v>287</v>
      </c>
      <c r="C68" s="33" t="s">
        <v>288</v>
      </c>
      <c r="D68" s="34">
        <v>2024</v>
      </c>
      <c r="E68" s="35" t="s">
        <v>289</v>
      </c>
      <c r="F68" s="16" t="s">
        <v>15</v>
      </c>
      <c r="G68" s="16">
        <v>1</v>
      </c>
      <c r="H68" s="33" t="s">
        <v>290</v>
      </c>
      <c r="I68" s="16" t="s">
        <v>17</v>
      </c>
      <c r="J68" s="18" t="s">
        <v>274</v>
      </c>
      <c r="K68" s="18" t="s">
        <v>155</v>
      </c>
      <c r="L68" s="18" t="s">
        <v>18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65" x14ac:dyDescent="0.35">
      <c r="A69" s="16" t="s">
        <v>291</v>
      </c>
      <c r="B69" s="30" t="s">
        <v>292</v>
      </c>
      <c r="C69" s="36" t="s">
        <v>293</v>
      </c>
      <c r="D69" s="31">
        <v>2024</v>
      </c>
      <c r="E69" s="28">
        <v>0</v>
      </c>
      <c r="F69" s="16" t="s">
        <v>129</v>
      </c>
      <c r="G69" s="31">
        <v>3</v>
      </c>
      <c r="H69" s="30" t="s">
        <v>294</v>
      </c>
      <c r="I69" s="16" t="s">
        <v>17</v>
      </c>
      <c r="J69" s="18" t="s">
        <v>279</v>
      </c>
      <c r="K69" s="8"/>
      <c r="L69" s="27" t="s">
        <v>159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84" customHeight="1" x14ac:dyDescent="0.35">
      <c r="A70" s="16" t="s">
        <v>295</v>
      </c>
      <c r="B70" s="30" t="s">
        <v>296</v>
      </c>
      <c r="C70" s="36" t="s">
        <v>297</v>
      </c>
      <c r="D70" s="31">
        <v>2024</v>
      </c>
      <c r="E70" s="28">
        <v>0</v>
      </c>
      <c r="F70" s="16" t="s">
        <v>129</v>
      </c>
      <c r="G70" s="31">
        <v>3</v>
      </c>
      <c r="H70" s="30" t="s">
        <v>298</v>
      </c>
      <c r="I70" s="16" t="s">
        <v>17</v>
      </c>
      <c r="J70" s="18" t="s">
        <v>281</v>
      </c>
      <c r="K70" s="8"/>
      <c r="L70" s="8" t="s">
        <v>163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52" x14ac:dyDescent="0.35">
      <c r="A71" s="16" t="s">
        <v>299</v>
      </c>
      <c r="B71" s="30" t="s">
        <v>300</v>
      </c>
      <c r="C71" s="36" t="s">
        <v>301</v>
      </c>
      <c r="D71" s="31">
        <v>2024</v>
      </c>
      <c r="E71" s="28">
        <v>0</v>
      </c>
      <c r="F71" s="16" t="s">
        <v>129</v>
      </c>
      <c r="G71" s="31">
        <v>3</v>
      </c>
      <c r="H71" s="30" t="s">
        <v>302</v>
      </c>
      <c r="I71" s="16" t="s">
        <v>17</v>
      </c>
      <c r="J71" s="18" t="s">
        <v>286</v>
      </c>
      <c r="K71" s="8"/>
      <c r="L71" s="8" t="s">
        <v>167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65" x14ac:dyDescent="0.35">
      <c r="A72" s="16" t="s">
        <v>303</v>
      </c>
      <c r="B72" s="30" t="s">
        <v>304</v>
      </c>
      <c r="C72" s="36" t="s">
        <v>305</v>
      </c>
      <c r="D72" s="31">
        <v>2024</v>
      </c>
      <c r="E72" s="28">
        <v>0</v>
      </c>
      <c r="F72" s="16" t="s">
        <v>129</v>
      </c>
      <c r="G72" s="31">
        <v>3</v>
      </c>
      <c r="H72" s="30" t="s">
        <v>306</v>
      </c>
      <c r="I72" s="16" t="s">
        <v>17</v>
      </c>
      <c r="J72" s="18" t="s">
        <v>291</v>
      </c>
      <c r="K72" s="8"/>
      <c r="L72" s="8" t="s">
        <v>171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52" x14ac:dyDescent="0.35">
      <c r="A73" s="16" t="s">
        <v>307</v>
      </c>
      <c r="B73" s="30" t="s">
        <v>308</v>
      </c>
      <c r="C73" s="36" t="s">
        <v>309</v>
      </c>
      <c r="D73" s="31">
        <v>2024</v>
      </c>
      <c r="E73" s="28">
        <v>0</v>
      </c>
      <c r="F73" s="16" t="s">
        <v>129</v>
      </c>
      <c r="G73" s="31">
        <v>3</v>
      </c>
      <c r="H73" s="30" t="s">
        <v>310</v>
      </c>
      <c r="I73" s="16" t="s">
        <v>17</v>
      </c>
      <c r="J73" s="18" t="s">
        <v>295</v>
      </c>
      <c r="K73" s="8"/>
      <c r="L73" s="8" t="s">
        <v>174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04" x14ac:dyDescent="0.35">
      <c r="A74" s="16" t="s">
        <v>311</v>
      </c>
      <c r="B74" s="30" t="s">
        <v>312</v>
      </c>
      <c r="C74" s="36" t="s">
        <v>313</v>
      </c>
      <c r="D74" s="31">
        <v>2024</v>
      </c>
      <c r="E74" s="28">
        <v>0</v>
      </c>
      <c r="F74" s="16" t="s">
        <v>129</v>
      </c>
      <c r="G74" s="31">
        <v>5</v>
      </c>
      <c r="H74" s="30" t="s">
        <v>314</v>
      </c>
      <c r="I74" s="16" t="s">
        <v>17</v>
      </c>
      <c r="J74" s="18" t="s">
        <v>299</v>
      </c>
      <c r="K74" s="8"/>
      <c r="L74" s="8" t="s">
        <v>178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84" customHeight="1" x14ac:dyDescent="0.35">
      <c r="A75" s="16" t="s">
        <v>315</v>
      </c>
      <c r="B75" s="30" t="s">
        <v>316</v>
      </c>
      <c r="C75" s="36" t="s">
        <v>317</v>
      </c>
      <c r="D75" s="31">
        <v>2024</v>
      </c>
      <c r="E75" s="28">
        <v>0</v>
      </c>
      <c r="F75" s="16" t="s">
        <v>129</v>
      </c>
      <c r="G75" s="31">
        <v>3</v>
      </c>
      <c r="H75" s="30" t="s">
        <v>318</v>
      </c>
      <c r="I75" s="16" t="s">
        <v>17</v>
      </c>
      <c r="J75" s="18" t="s">
        <v>303</v>
      </c>
      <c r="K75" s="8"/>
      <c r="L75" s="8" t="s">
        <v>182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84" customHeight="1" x14ac:dyDescent="0.35">
      <c r="A76" s="16" t="s">
        <v>319</v>
      </c>
      <c r="B76" s="30" t="s">
        <v>320</v>
      </c>
      <c r="C76" s="36" t="s">
        <v>321</v>
      </c>
      <c r="D76" s="31">
        <v>2024</v>
      </c>
      <c r="E76" s="28">
        <v>0</v>
      </c>
      <c r="F76" s="16" t="s">
        <v>129</v>
      </c>
      <c r="G76" s="31">
        <v>3</v>
      </c>
      <c r="H76" s="30" t="s">
        <v>322</v>
      </c>
      <c r="I76" s="16" t="s">
        <v>17</v>
      </c>
      <c r="J76" s="18" t="s">
        <v>307</v>
      </c>
      <c r="K76" s="8"/>
      <c r="L76" s="8" t="s">
        <v>186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84" customHeight="1" x14ac:dyDescent="0.35">
      <c r="A77" s="16" t="s">
        <v>323</v>
      </c>
      <c r="B77" s="30" t="s">
        <v>324</v>
      </c>
      <c r="C77" s="36" t="s">
        <v>325</v>
      </c>
      <c r="D77" s="31">
        <v>2024</v>
      </c>
      <c r="E77" s="28">
        <v>0</v>
      </c>
      <c r="F77" s="16" t="s">
        <v>129</v>
      </c>
      <c r="G77" s="31">
        <v>4</v>
      </c>
      <c r="H77" s="30" t="s">
        <v>326</v>
      </c>
      <c r="I77" s="16" t="s">
        <v>17</v>
      </c>
      <c r="J77" s="18" t="s">
        <v>311</v>
      </c>
      <c r="K77" s="8"/>
      <c r="L77" s="8" t="s">
        <v>190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84" customHeight="1" x14ac:dyDescent="0.35">
      <c r="A78" s="16" t="s">
        <v>327</v>
      </c>
      <c r="B78" s="30" t="s">
        <v>328</v>
      </c>
      <c r="C78" s="36" t="s">
        <v>329</v>
      </c>
      <c r="D78" s="31">
        <v>2024</v>
      </c>
      <c r="E78" s="28">
        <v>0</v>
      </c>
      <c r="F78" s="16" t="s">
        <v>129</v>
      </c>
      <c r="G78" s="31">
        <v>5</v>
      </c>
      <c r="H78" s="30" t="s">
        <v>330</v>
      </c>
      <c r="I78" s="16" t="s">
        <v>17</v>
      </c>
      <c r="J78" s="18" t="s">
        <v>315</v>
      </c>
      <c r="K78" s="8"/>
      <c r="L78" s="8" t="s">
        <v>194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84" customHeight="1" x14ac:dyDescent="0.35">
      <c r="A79" s="16" t="s">
        <v>331</v>
      </c>
      <c r="B79" s="30" t="s">
        <v>332</v>
      </c>
      <c r="C79" s="36" t="s">
        <v>333</v>
      </c>
      <c r="D79" s="31">
        <v>2024</v>
      </c>
      <c r="E79" s="28">
        <v>0</v>
      </c>
      <c r="F79" s="16" t="s">
        <v>129</v>
      </c>
      <c r="G79" s="31">
        <v>4</v>
      </c>
      <c r="H79" s="30" t="s">
        <v>334</v>
      </c>
      <c r="I79" s="16" t="s">
        <v>17</v>
      </c>
      <c r="J79" s="18" t="s">
        <v>319</v>
      </c>
      <c r="K79" s="8"/>
      <c r="L79" s="8" t="s">
        <v>198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84" customHeight="1" x14ac:dyDescent="0.35">
      <c r="A80" s="16" t="s">
        <v>335</v>
      </c>
      <c r="B80" s="30" t="s">
        <v>336</v>
      </c>
      <c r="C80" s="36" t="s">
        <v>337</v>
      </c>
      <c r="D80" s="31">
        <v>2024</v>
      </c>
      <c r="E80" s="28">
        <v>0</v>
      </c>
      <c r="F80" s="16" t="s">
        <v>129</v>
      </c>
      <c r="G80" s="31">
        <v>4</v>
      </c>
      <c r="H80" s="30" t="s">
        <v>338</v>
      </c>
      <c r="I80" s="16" t="s">
        <v>17</v>
      </c>
      <c r="J80" s="18" t="s">
        <v>323</v>
      </c>
      <c r="K80" s="8"/>
      <c r="L80" s="8" t="s">
        <v>202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84" customHeight="1" x14ac:dyDescent="0.35">
      <c r="A81" s="16" t="s">
        <v>339</v>
      </c>
      <c r="B81" s="30" t="s">
        <v>340</v>
      </c>
      <c r="C81" s="36" t="s">
        <v>341</v>
      </c>
      <c r="D81" s="31">
        <v>2024</v>
      </c>
      <c r="E81" s="28">
        <v>0</v>
      </c>
      <c r="F81" s="16" t="s">
        <v>129</v>
      </c>
      <c r="G81" s="31">
        <v>4</v>
      </c>
      <c r="H81" s="30" t="s">
        <v>342</v>
      </c>
      <c r="I81" s="16" t="s">
        <v>17</v>
      </c>
      <c r="J81" s="18" t="s">
        <v>327</v>
      </c>
      <c r="K81" s="8"/>
      <c r="L81" s="8" t="s">
        <v>206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84" customHeight="1" x14ac:dyDescent="0.35">
      <c r="A82" s="16" t="s">
        <v>343</v>
      </c>
      <c r="B82" s="30" t="s">
        <v>344</v>
      </c>
      <c r="C82" s="36" t="s">
        <v>345</v>
      </c>
      <c r="D82" s="31">
        <v>2024</v>
      </c>
      <c r="E82" s="28">
        <v>0</v>
      </c>
      <c r="F82" s="16" t="s">
        <v>129</v>
      </c>
      <c r="G82" s="31">
        <v>4</v>
      </c>
      <c r="H82" s="30" t="s">
        <v>346</v>
      </c>
      <c r="I82" s="16" t="s">
        <v>17</v>
      </c>
      <c r="J82" s="18" t="s">
        <v>331</v>
      </c>
      <c r="K82" s="8"/>
      <c r="L82" s="8" t="s">
        <v>210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84" customHeight="1" x14ac:dyDescent="0.35">
      <c r="A83" s="16" t="s">
        <v>347</v>
      </c>
      <c r="B83" s="30" t="s">
        <v>348</v>
      </c>
      <c r="C83" s="36" t="s">
        <v>349</v>
      </c>
      <c r="D83" s="31">
        <v>2024</v>
      </c>
      <c r="E83" s="28">
        <v>0</v>
      </c>
      <c r="F83" s="16" t="s">
        <v>129</v>
      </c>
      <c r="G83" s="31">
        <v>3</v>
      </c>
      <c r="H83" s="30" t="s">
        <v>350</v>
      </c>
      <c r="I83" s="16" t="s">
        <v>17</v>
      </c>
      <c r="J83" s="18" t="s">
        <v>335</v>
      </c>
      <c r="K83" s="8"/>
      <c r="L83" s="8" t="s">
        <v>214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84" customHeight="1" x14ac:dyDescent="0.35">
      <c r="A84" s="16" t="s">
        <v>351</v>
      </c>
      <c r="B84" s="30" t="s">
        <v>352</v>
      </c>
      <c r="C84" s="36" t="s">
        <v>353</v>
      </c>
      <c r="D84" s="31">
        <v>2024</v>
      </c>
      <c r="E84" s="28">
        <v>0</v>
      </c>
      <c r="F84" s="16" t="s">
        <v>129</v>
      </c>
      <c r="G84" s="31">
        <v>3</v>
      </c>
      <c r="H84" s="30" t="s">
        <v>354</v>
      </c>
      <c r="I84" s="16" t="s">
        <v>17</v>
      </c>
      <c r="J84" s="18" t="s">
        <v>339</v>
      </c>
      <c r="K84" s="8"/>
      <c r="L84" s="8" t="s">
        <v>218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78" x14ac:dyDescent="0.35">
      <c r="A85" s="16" t="s">
        <v>355</v>
      </c>
      <c r="B85" s="30" t="s">
        <v>356</v>
      </c>
      <c r="C85" s="36" t="s">
        <v>54</v>
      </c>
      <c r="D85" s="31">
        <v>2024</v>
      </c>
      <c r="E85" s="28">
        <v>0</v>
      </c>
      <c r="F85" s="16" t="s">
        <v>129</v>
      </c>
      <c r="G85" s="31">
        <v>4</v>
      </c>
      <c r="H85" s="30" t="s">
        <v>357</v>
      </c>
      <c r="I85" s="16" t="s">
        <v>17</v>
      </c>
      <c r="J85" s="18" t="s">
        <v>343</v>
      </c>
      <c r="K85" s="8"/>
      <c r="L85" s="8" t="s">
        <v>222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84" customHeight="1" x14ac:dyDescent="0.35">
      <c r="A86" s="16" t="s">
        <v>358</v>
      </c>
      <c r="B86" s="30" t="s">
        <v>359</v>
      </c>
      <c r="C86" s="36" t="s">
        <v>360</v>
      </c>
      <c r="D86" s="31">
        <v>2024</v>
      </c>
      <c r="E86" s="28">
        <v>0</v>
      </c>
      <c r="F86" s="16" t="s">
        <v>129</v>
      </c>
      <c r="G86" s="31">
        <v>3</v>
      </c>
      <c r="H86" s="30" t="s">
        <v>361</v>
      </c>
      <c r="I86" s="16" t="s">
        <v>17</v>
      </c>
      <c r="J86" s="18" t="s">
        <v>347</v>
      </c>
      <c r="K86" s="8"/>
      <c r="L86" s="8" t="s">
        <v>226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84" customHeight="1" x14ac:dyDescent="0.35">
      <c r="A87" s="16" t="s">
        <v>362</v>
      </c>
      <c r="B87" s="30" t="s">
        <v>363</v>
      </c>
      <c r="C87" s="36" t="s">
        <v>364</v>
      </c>
      <c r="D87" s="31">
        <v>2024</v>
      </c>
      <c r="E87" s="28">
        <v>0</v>
      </c>
      <c r="F87" s="16" t="s">
        <v>129</v>
      </c>
      <c r="G87" s="31">
        <v>3</v>
      </c>
      <c r="H87" s="30" t="s">
        <v>365</v>
      </c>
      <c r="I87" s="16" t="s">
        <v>17</v>
      </c>
      <c r="J87" s="18" t="s">
        <v>351</v>
      </c>
      <c r="K87" s="8"/>
      <c r="L87" s="8" t="s">
        <v>230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84" customHeight="1" x14ac:dyDescent="0.35">
      <c r="A88" s="16" t="s">
        <v>366</v>
      </c>
      <c r="B88" s="30" t="s">
        <v>367</v>
      </c>
      <c r="C88" s="36" t="s">
        <v>368</v>
      </c>
      <c r="D88" s="31">
        <v>2024</v>
      </c>
      <c r="E88" s="28">
        <v>0</v>
      </c>
      <c r="F88" s="16" t="s">
        <v>129</v>
      </c>
      <c r="G88" s="31">
        <v>3</v>
      </c>
      <c r="H88" s="30" t="s">
        <v>369</v>
      </c>
      <c r="I88" s="16" t="s">
        <v>17</v>
      </c>
      <c r="J88" s="18" t="s">
        <v>355</v>
      </c>
      <c r="K88" s="8"/>
      <c r="L88" s="8" t="s">
        <v>234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84" customHeight="1" x14ac:dyDescent="0.35">
      <c r="A89" s="16" t="s">
        <v>370</v>
      </c>
      <c r="B89" s="30" t="s">
        <v>371</v>
      </c>
      <c r="C89" s="36" t="s">
        <v>372</v>
      </c>
      <c r="D89" s="31">
        <v>2024</v>
      </c>
      <c r="E89" s="28">
        <v>0</v>
      </c>
      <c r="F89" s="16" t="s">
        <v>129</v>
      </c>
      <c r="G89" s="31">
        <v>3</v>
      </c>
      <c r="H89" s="30" t="s">
        <v>373</v>
      </c>
      <c r="I89" s="16" t="s">
        <v>17</v>
      </c>
      <c r="J89" s="18" t="s">
        <v>358</v>
      </c>
      <c r="K89" s="8"/>
      <c r="L89" s="8" t="s">
        <v>238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84" customHeight="1" x14ac:dyDescent="0.35">
      <c r="A90" s="16" t="s">
        <v>374</v>
      </c>
      <c r="B90" s="30" t="s">
        <v>375</v>
      </c>
      <c r="C90" s="36" t="s">
        <v>376</v>
      </c>
      <c r="D90" s="31">
        <v>2024</v>
      </c>
      <c r="E90" s="28">
        <v>0</v>
      </c>
      <c r="F90" s="16" t="s">
        <v>129</v>
      </c>
      <c r="G90" s="31">
        <v>3</v>
      </c>
      <c r="H90" s="30" t="s">
        <v>377</v>
      </c>
      <c r="I90" s="16" t="s">
        <v>17</v>
      </c>
      <c r="J90" s="18" t="s">
        <v>362</v>
      </c>
      <c r="K90" s="8"/>
      <c r="L90" s="8" t="s">
        <v>242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84" customHeight="1" x14ac:dyDescent="0.35">
      <c r="A91" s="16" t="s">
        <v>378</v>
      </c>
      <c r="B91" s="30" t="s">
        <v>379</v>
      </c>
      <c r="C91" s="36" t="s">
        <v>380</v>
      </c>
      <c r="D91" s="31">
        <v>2024</v>
      </c>
      <c r="E91" s="28">
        <v>0</v>
      </c>
      <c r="F91" s="16" t="s">
        <v>129</v>
      </c>
      <c r="G91" s="31">
        <v>3</v>
      </c>
      <c r="H91" s="30" t="s">
        <v>381</v>
      </c>
      <c r="I91" s="16" t="s">
        <v>17</v>
      </c>
      <c r="J91" s="18" t="s">
        <v>366</v>
      </c>
      <c r="K91" s="8"/>
      <c r="L91" s="8" t="s">
        <v>246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84" customHeight="1" x14ac:dyDescent="0.35">
      <c r="A92" s="16" t="s">
        <v>382</v>
      </c>
      <c r="B92" s="30" t="s">
        <v>383</v>
      </c>
      <c r="C92" s="36" t="s">
        <v>384</v>
      </c>
      <c r="D92" s="31">
        <v>2024</v>
      </c>
      <c r="E92" s="28">
        <v>0</v>
      </c>
      <c r="F92" s="16" t="s">
        <v>129</v>
      </c>
      <c r="G92" s="31">
        <v>3</v>
      </c>
      <c r="H92" s="30" t="s">
        <v>385</v>
      </c>
      <c r="I92" s="16" t="s">
        <v>17</v>
      </c>
      <c r="J92" s="18" t="s">
        <v>370</v>
      </c>
      <c r="K92" s="8"/>
      <c r="L92" s="8" t="s">
        <v>250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84" customHeight="1" x14ac:dyDescent="0.35">
      <c r="A93" s="16" t="s">
        <v>386</v>
      </c>
      <c r="B93" s="30" t="s">
        <v>387</v>
      </c>
      <c r="C93" s="36" t="s">
        <v>388</v>
      </c>
      <c r="D93" s="31">
        <v>2024</v>
      </c>
      <c r="E93" s="28">
        <v>0</v>
      </c>
      <c r="F93" s="16" t="s">
        <v>129</v>
      </c>
      <c r="G93" s="31">
        <v>3</v>
      </c>
      <c r="H93" s="30" t="s">
        <v>389</v>
      </c>
      <c r="I93" s="16" t="s">
        <v>17</v>
      </c>
      <c r="J93" s="18" t="s">
        <v>374</v>
      </c>
      <c r="K93" s="8"/>
      <c r="L93" s="8" t="s">
        <v>254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84" customHeight="1" x14ac:dyDescent="0.35">
      <c r="A94" s="16" t="s">
        <v>390</v>
      </c>
      <c r="B94" s="30" t="s">
        <v>391</v>
      </c>
      <c r="C94" s="36" t="s">
        <v>392</v>
      </c>
      <c r="D94" s="31">
        <v>2024</v>
      </c>
      <c r="E94" s="28">
        <v>0</v>
      </c>
      <c r="F94" s="16" t="s">
        <v>129</v>
      </c>
      <c r="G94" s="31">
        <v>3</v>
      </c>
      <c r="H94" s="30" t="s">
        <v>393</v>
      </c>
      <c r="I94" s="16" t="s">
        <v>17</v>
      </c>
      <c r="J94" s="18" t="s">
        <v>378</v>
      </c>
      <c r="K94" s="8"/>
      <c r="L94" s="8" t="s">
        <v>258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84" customHeight="1" x14ac:dyDescent="0.35">
      <c r="A95" s="16" t="s">
        <v>394</v>
      </c>
      <c r="B95" s="30" t="s">
        <v>395</v>
      </c>
      <c r="C95" s="36" t="s">
        <v>396</v>
      </c>
      <c r="D95" s="31">
        <v>2024</v>
      </c>
      <c r="E95" s="28">
        <v>0</v>
      </c>
      <c r="F95" s="16" t="s">
        <v>129</v>
      </c>
      <c r="G95" s="31">
        <v>4</v>
      </c>
      <c r="H95" s="30" t="s">
        <v>397</v>
      </c>
      <c r="I95" s="16" t="s">
        <v>17</v>
      </c>
      <c r="J95" s="18" t="s">
        <v>382</v>
      </c>
      <c r="K95" s="8"/>
      <c r="L95" s="8" t="s">
        <v>263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84" customHeight="1" x14ac:dyDescent="0.35">
      <c r="A96" s="16" t="s">
        <v>398</v>
      </c>
      <c r="B96" s="30" t="s">
        <v>399</v>
      </c>
      <c r="C96" s="36" t="s">
        <v>400</v>
      </c>
      <c r="D96" s="31">
        <v>2024</v>
      </c>
      <c r="E96" s="28">
        <v>0</v>
      </c>
      <c r="F96" s="16" t="s">
        <v>129</v>
      </c>
      <c r="G96" s="31">
        <v>3</v>
      </c>
      <c r="H96" s="30" t="s">
        <v>401</v>
      </c>
      <c r="I96" s="16" t="s">
        <v>17</v>
      </c>
      <c r="J96" s="18" t="s">
        <v>386</v>
      </c>
      <c r="K96" s="8"/>
      <c r="L96" s="8" t="s">
        <v>269</v>
      </c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84" customHeight="1" x14ac:dyDescent="0.35">
      <c r="A97" s="16" t="s">
        <v>402</v>
      </c>
      <c r="B97" s="30" t="s">
        <v>403</v>
      </c>
      <c r="C97" s="36" t="s">
        <v>404</v>
      </c>
      <c r="D97" s="31">
        <v>2024</v>
      </c>
      <c r="E97" s="28">
        <v>0</v>
      </c>
      <c r="F97" s="16" t="s">
        <v>129</v>
      </c>
      <c r="G97" s="31">
        <v>4</v>
      </c>
      <c r="H97" s="30" t="s">
        <v>405</v>
      </c>
      <c r="I97" s="16" t="s">
        <v>17</v>
      </c>
      <c r="J97" s="18" t="s">
        <v>390</v>
      </c>
      <c r="K97" s="8"/>
      <c r="L97" s="8" t="s">
        <v>274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84" customHeight="1" x14ac:dyDescent="0.35">
      <c r="A98" s="16" t="s">
        <v>406</v>
      </c>
      <c r="B98" s="30" t="s">
        <v>407</v>
      </c>
      <c r="C98" s="36" t="s">
        <v>408</v>
      </c>
      <c r="D98" s="31">
        <v>2024</v>
      </c>
      <c r="E98" s="28">
        <v>0</v>
      </c>
      <c r="F98" s="16" t="s">
        <v>129</v>
      </c>
      <c r="G98" s="31">
        <v>3</v>
      </c>
      <c r="H98" s="30" t="s">
        <v>409</v>
      </c>
      <c r="I98" s="16" t="s">
        <v>17</v>
      </c>
      <c r="J98" s="18" t="s">
        <v>394</v>
      </c>
      <c r="K98" s="8"/>
      <c r="L98" s="8" t="s">
        <v>279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84" customHeight="1" x14ac:dyDescent="0.35">
      <c r="A99" s="16" t="s">
        <v>410</v>
      </c>
      <c r="B99" s="30" t="s">
        <v>411</v>
      </c>
      <c r="C99" s="36" t="s">
        <v>412</v>
      </c>
      <c r="D99" s="31">
        <v>2024</v>
      </c>
      <c r="E99" s="28">
        <v>0</v>
      </c>
      <c r="F99" s="16" t="s">
        <v>129</v>
      </c>
      <c r="G99" s="31">
        <v>3</v>
      </c>
      <c r="H99" s="30" t="s">
        <v>413</v>
      </c>
      <c r="I99" s="16" t="s">
        <v>17</v>
      </c>
      <c r="J99" s="18" t="s">
        <v>398</v>
      </c>
      <c r="K99" s="8"/>
      <c r="L99" s="8" t="s">
        <v>281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84" customHeight="1" x14ac:dyDescent="0.35">
      <c r="A100" s="16" t="s">
        <v>414</v>
      </c>
      <c r="B100" s="30" t="s">
        <v>415</v>
      </c>
      <c r="C100" s="36" t="s">
        <v>416</v>
      </c>
      <c r="D100" s="31">
        <v>2024</v>
      </c>
      <c r="E100" s="28">
        <v>0</v>
      </c>
      <c r="F100" s="16" t="s">
        <v>129</v>
      </c>
      <c r="G100" s="31">
        <v>4</v>
      </c>
      <c r="H100" s="30" t="s">
        <v>417</v>
      </c>
      <c r="I100" s="16" t="s">
        <v>17</v>
      </c>
      <c r="J100" s="18" t="s">
        <v>402</v>
      </c>
      <c r="K100" s="8"/>
      <c r="L100" s="8" t="s">
        <v>286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84" customHeight="1" x14ac:dyDescent="0.35">
      <c r="A101" s="16" t="s">
        <v>418</v>
      </c>
      <c r="B101" s="30" t="s">
        <v>419</v>
      </c>
      <c r="C101" s="36" t="s">
        <v>420</v>
      </c>
      <c r="D101" s="31">
        <v>2024</v>
      </c>
      <c r="E101" s="28">
        <v>0</v>
      </c>
      <c r="F101" s="16" t="s">
        <v>129</v>
      </c>
      <c r="G101" s="31">
        <v>5</v>
      </c>
      <c r="H101" s="30" t="s">
        <v>421</v>
      </c>
      <c r="I101" s="16" t="s">
        <v>17</v>
      </c>
      <c r="J101" s="18" t="s">
        <v>406</v>
      </c>
      <c r="K101" s="8"/>
      <c r="L101" s="8" t="s">
        <v>291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84" customHeight="1" x14ac:dyDescent="0.35">
      <c r="A102" s="16" t="s">
        <v>422</v>
      </c>
      <c r="B102" s="30" t="s">
        <v>423</v>
      </c>
      <c r="C102" s="36" t="s">
        <v>424</v>
      </c>
      <c r="D102" s="31">
        <v>2024</v>
      </c>
      <c r="E102" s="28">
        <v>0</v>
      </c>
      <c r="F102" s="16" t="s">
        <v>129</v>
      </c>
      <c r="G102" s="31">
        <v>4</v>
      </c>
      <c r="H102" s="30" t="s">
        <v>425</v>
      </c>
      <c r="I102" s="16" t="s">
        <v>17</v>
      </c>
      <c r="J102" s="18" t="s">
        <v>410</v>
      </c>
      <c r="K102" s="8"/>
      <c r="L102" s="8" t="s">
        <v>295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84" customHeight="1" x14ac:dyDescent="0.35">
      <c r="A103" s="16" t="s">
        <v>426</v>
      </c>
      <c r="B103" s="30" t="s">
        <v>427</v>
      </c>
      <c r="C103" s="36" t="s">
        <v>428</v>
      </c>
      <c r="D103" s="31">
        <v>2024</v>
      </c>
      <c r="E103" s="28">
        <v>0</v>
      </c>
      <c r="F103" s="16" t="s">
        <v>129</v>
      </c>
      <c r="G103" s="31">
        <v>4</v>
      </c>
      <c r="H103" s="30" t="s">
        <v>429</v>
      </c>
      <c r="I103" s="16" t="s">
        <v>17</v>
      </c>
      <c r="J103" s="18" t="s">
        <v>414</v>
      </c>
      <c r="K103" s="8"/>
      <c r="L103" s="8" t="s">
        <v>299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84" customHeight="1" x14ac:dyDescent="0.35">
      <c r="A104" s="16" t="s">
        <v>430</v>
      </c>
      <c r="B104" s="30" t="s">
        <v>431</v>
      </c>
      <c r="C104" s="36" t="s">
        <v>432</v>
      </c>
      <c r="D104" s="31">
        <v>2024</v>
      </c>
      <c r="E104" s="32"/>
      <c r="F104" s="16" t="s">
        <v>15</v>
      </c>
      <c r="G104" s="31"/>
      <c r="H104" s="30"/>
      <c r="I104" s="16" t="s">
        <v>17</v>
      </c>
      <c r="J104" s="8"/>
      <c r="K104" s="27" t="s">
        <v>159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84" customHeight="1" x14ac:dyDescent="0.35">
      <c r="A105" s="16" t="s">
        <v>433</v>
      </c>
      <c r="B105" s="30" t="s">
        <v>434</v>
      </c>
      <c r="C105" s="36" t="s">
        <v>435</v>
      </c>
      <c r="D105" s="31">
        <v>2024</v>
      </c>
      <c r="E105" s="32"/>
      <c r="F105" s="16" t="s">
        <v>15</v>
      </c>
      <c r="G105" s="31"/>
      <c r="H105" s="30"/>
      <c r="I105" s="16" t="s">
        <v>17</v>
      </c>
      <c r="J105" s="8"/>
      <c r="K105" s="8" t="s">
        <v>163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84" customHeight="1" x14ac:dyDescent="0.35">
      <c r="A106" s="16" t="s">
        <v>436</v>
      </c>
      <c r="B106" s="30" t="s">
        <v>437</v>
      </c>
      <c r="C106" s="36" t="s">
        <v>438</v>
      </c>
      <c r="D106" s="31">
        <v>2024</v>
      </c>
      <c r="E106" s="32"/>
      <c r="F106" s="16" t="s">
        <v>15</v>
      </c>
      <c r="G106" s="31"/>
      <c r="H106" s="30"/>
      <c r="I106" s="16" t="s">
        <v>17</v>
      </c>
      <c r="J106" s="8"/>
      <c r="K106" s="8" t="s">
        <v>167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84" customHeight="1" x14ac:dyDescent="0.35">
      <c r="A107" s="16" t="s">
        <v>439</v>
      </c>
      <c r="B107" s="30" t="s">
        <v>440</v>
      </c>
      <c r="C107" s="36" t="s">
        <v>441</v>
      </c>
      <c r="D107" s="31">
        <v>2024</v>
      </c>
      <c r="E107" s="32"/>
      <c r="F107" s="16" t="s">
        <v>15</v>
      </c>
      <c r="G107" s="31"/>
      <c r="H107" s="30"/>
      <c r="I107" s="16" t="s">
        <v>17</v>
      </c>
      <c r="J107" s="8"/>
      <c r="K107" s="8" t="s">
        <v>171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84" customHeight="1" x14ac:dyDescent="0.35">
      <c r="A108" s="16" t="s">
        <v>442</v>
      </c>
      <c r="B108" s="30" t="s">
        <v>443</v>
      </c>
      <c r="C108" s="36" t="s">
        <v>444</v>
      </c>
      <c r="D108" s="31">
        <v>2024</v>
      </c>
      <c r="E108" s="32"/>
      <c r="F108" s="16" t="s">
        <v>15</v>
      </c>
      <c r="G108" s="31"/>
      <c r="H108" s="30"/>
      <c r="I108" s="16" t="s">
        <v>17</v>
      </c>
      <c r="J108" s="8"/>
      <c r="K108" s="8" t="s">
        <v>174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84" customHeight="1" x14ac:dyDescent="0.35">
      <c r="A109" s="16" t="s">
        <v>445</v>
      </c>
      <c r="B109" s="30" t="s">
        <v>446</v>
      </c>
      <c r="C109" s="36" t="s">
        <v>293</v>
      </c>
      <c r="D109" s="31">
        <v>2024</v>
      </c>
      <c r="E109" s="32"/>
      <c r="F109" s="16" t="s">
        <v>15</v>
      </c>
      <c r="G109" s="31"/>
      <c r="H109" s="30"/>
      <c r="I109" s="16" t="s">
        <v>17</v>
      </c>
      <c r="J109" s="8"/>
      <c r="K109" s="8" t="s">
        <v>178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84" customHeight="1" x14ac:dyDescent="0.35">
      <c r="A110" s="16" t="s">
        <v>447</v>
      </c>
      <c r="B110" s="30" t="s">
        <v>448</v>
      </c>
      <c r="C110" s="36" t="s">
        <v>293</v>
      </c>
      <c r="D110" s="31">
        <v>2024</v>
      </c>
      <c r="E110" s="32"/>
      <c r="F110" s="16" t="s">
        <v>15</v>
      </c>
      <c r="G110" s="31"/>
      <c r="H110" s="30"/>
      <c r="I110" s="16" t="s">
        <v>17</v>
      </c>
      <c r="J110" s="8"/>
      <c r="K110" s="8" t="s">
        <v>182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84" customHeight="1" x14ac:dyDescent="0.35">
      <c r="A111" s="16" t="s">
        <v>449</v>
      </c>
      <c r="B111" s="30" t="s">
        <v>450</v>
      </c>
      <c r="C111" s="36" t="s">
        <v>451</v>
      </c>
      <c r="D111" s="31">
        <v>2024</v>
      </c>
      <c r="E111" s="32"/>
      <c r="F111" s="16" t="s">
        <v>15</v>
      </c>
      <c r="G111" s="31"/>
      <c r="H111" s="30"/>
      <c r="I111" s="16" t="s">
        <v>17</v>
      </c>
      <c r="J111" s="8"/>
      <c r="K111" s="8" t="s">
        <v>186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84" customHeight="1" x14ac:dyDescent="0.35">
      <c r="A112" s="16" t="s">
        <v>452</v>
      </c>
      <c r="B112" s="30" t="s">
        <v>453</v>
      </c>
      <c r="C112" s="36" t="s">
        <v>454</v>
      </c>
      <c r="D112" s="31">
        <v>2024</v>
      </c>
      <c r="E112" s="32"/>
      <c r="F112" s="16" t="s">
        <v>15</v>
      </c>
      <c r="G112" s="31"/>
      <c r="H112" s="30"/>
      <c r="I112" s="16" t="s">
        <v>17</v>
      </c>
      <c r="J112" s="8"/>
      <c r="K112" s="8" t="s">
        <v>190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84" customHeight="1" x14ac:dyDescent="0.35">
      <c r="A113" s="16" t="s">
        <v>455</v>
      </c>
      <c r="B113" s="30" t="s">
        <v>456</v>
      </c>
      <c r="C113" s="36" t="s">
        <v>457</v>
      </c>
      <c r="D113" s="31">
        <v>2024</v>
      </c>
      <c r="E113" s="32"/>
      <c r="F113" s="16" t="s">
        <v>15</v>
      </c>
      <c r="G113" s="31"/>
      <c r="H113" s="30"/>
      <c r="I113" s="16" t="s">
        <v>17</v>
      </c>
      <c r="J113" s="8"/>
      <c r="K113" s="8" t="s">
        <v>194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84" customHeight="1" x14ac:dyDescent="0.35">
      <c r="A114" s="16" t="s">
        <v>458</v>
      </c>
      <c r="B114" s="30" t="s">
        <v>459</v>
      </c>
      <c r="C114" s="36" t="s">
        <v>460</v>
      </c>
      <c r="D114" s="31">
        <v>2024</v>
      </c>
      <c r="E114" s="32"/>
      <c r="F114" s="16" t="s">
        <v>15</v>
      </c>
      <c r="G114" s="31"/>
      <c r="H114" s="30"/>
      <c r="I114" s="16" t="s">
        <v>17</v>
      </c>
      <c r="J114" s="8"/>
      <c r="K114" s="8" t="s">
        <v>198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84" customHeight="1" x14ac:dyDescent="0.35">
      <c r="A115" s="16" t="s">
        <v>461</v>
      </c>
      <c r="B115" s="30" t="s">
        <v>462</v>
      </c>
      <c r="C115" s="36" t="s">
        <v>463</v>
      </c>
      <c r="D115" s="31">
        <v>2024</v>
      </c>
      <c r="E115" s="32"/>
      <c r="F115" s="16" t="s">
        <v>15</v>
      </c>
      <c r="G115" s="31"/>
      <c r="H115" s="30"/>
      <c r="I115" s="16" t="s">
        <v>17</v>
      </c>
      <c r="J115" s="8"/>
      <c r="K115" s="8" t="s">
        <v>202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84" customHeight="1" x14ac:dyDescent="0.35">
      <c r="A116" s="16" t="s">
        <v>464</v>
      </c>
      <c r="B116" s="30" t="s">
        <v>465</v>
      </c>
      <c r="C116" s="36" t="s">
        <v>466</v>
      </c>
      <c r="D116" s="31">
        <v>2024</v>
      </c>
      <c r="E116" s="32"/>
      <c r="F116" s="16" t="s">
        <v>15</v>
      </c>
      <c r="G116" s="31"/>
      <c r="H116" s="30"/>
      <c r="I116" s="16" t="s">
        <v>17</v>
      </c>
      <c r="J116" s="8"/>
      <c r="K116" s="8" t="s">
        <v>206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84" customHeight="1" x14ac:dyDescent="0.35">
      <c r="A117" s="16" t="s">
        <v>467</v>
      </c>
      <c r="B117" s="30" t="s">
        <v>468</v>
      </c>
      <c r="C117" s="36" t="s">
        <v>469</v>
      </c>
      <c r="D117" s="31">
        <v>2024</v>
      </c>
      <c r="E117" s="32"/>
      <c r="F117" s="31" t="s">
        <v>129</v>
      </c>
      <c r="G117" s="31"/>
      <c r="H117" s="30"/>
      <c r="I117" s="16" t="s">
        <v>17</v>
      </c>
      <c r="J117" s="8"/>
      <c r="K117" s="8"/>
      <c r="L117" s="27" t="s">
        <v>303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84" customHeight="1" x14ac:dyDescent="0.35">
      <c r="A118" s="16" t="s">
        <v>470</v>
      </c>
      <c r="B118" s="30" t="s">
        <v>471</v>
      </c>
      <c r="C118" s="36" t="s">
        <v>432</v>
      </c>
      <c r="D118" s="31">
        <v>2024</v>
      </c>
      <c r="E118" s="32"/>
      <c r="F118" s="31" t="s">
        <v>129</v>
      </c>
      <c r="G118" s="31"/>
      <c r="H118" s="30"/>
      <c r="I118" s="16" t="s">
        <v>17</v>
      </c>
      <c r="J118" s="8"/>
      <c r="K118" s="8"/>
      <c r="L118" s="8" t="s">
        <v>307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84" customHeight="1" x14ac:dyDescent="0.35">
      <c r="A119" s="16" t="s">
        <v>472</v>
      </c>
      <c r="B119" s="30" t="s">
        <v>473</v>
      </c>
      <c r="C119" s="36" t="s">
        <v>474</v>
      </c>
      <c r="D119" s="31">
        <v>2024</v>
      </c>
      <c r="E119" s="32"/>
      <c r="F119" s="31" t="s">
        <v>129</v>
      </c>
      <c r="G119" s="31"/>
      <c r="H119" s="30"/>
      <c r="I119" s="16" t="s">
        <v>17</v>
      </c>
      <c r="J119" s="8"/>
      <c r="K119" s="8"/>
      <c r="L119" s="8" t="s">
        <v>311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84" customHeight="1" x14ac:dyDescent="0.35">
      <c r="A120" s="16" t="s">
        <v>475</v>
      </c>
      <c r="B120" s="30" t="s">
        <v>476</v>
      </c>
      <c r="C120" s="36" t="s">
        <v>477</v>
      </c>
      <c r="D120" s="31">
        <v>2024</v>
      </c>
      <c r="E120" s="32"/>
      <c r="F120" s="31" t="s">
        <v>129</v>
      </c>
      <c r="G120" s="31"/>
      <c r="H120" s="30"/>
      <c r="I120" s="16" t="s">
        <v>17</v>
      </c>
      <c r="J120" s="8"/>
      <c r="K120" s="8"/>
      <c r="L120" s="8" t="s">
        <v>315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84" customHeight="1" x14ac:dyDescent="0.35">
      <c r="A121" s="16" t="s">
        <v>478</v>
      </c>
      <c r="B121" s="30" t="s">
        <v>479</v>
      </c>
      <c r="C121" s="36" t="s">
        <v>432</v>
      </c>
      <c r="D121" s="31">
        <v>2024</v>
      </c>
      <c r="E121" s="32"/>
      <c r="F121" s="31" t="s">
        <v>129</v>
      </c>
      <c r="G121" s="31"/>
      <c r="H121" s="30"/>
      <c r="I121" s="16" t="s">
        <v>17</v>
      </c>
      <c r="J121" s="8"/>
      <c r="K121" s="8"/>
      <c r="L121" s="8" t="s">
        <v>319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84" customHeight="1" x14ac:dyDescent="0.35">
      <c r="A122" s="16" t="s">
        <v>480</v>
      </c>
      <c r="B122" s="30" t="s">
        <v>481</v>
      </c>
      <c r="C122" s="36" t="s">
        <v>54</v>
      </c>
      <c r="D122" s="31">
        <v>2024</v>
      </c>
      <c r="E122" s="32"/>
      <c r="F122" s="31" t="s">
        <v>129</v>
      </c>
      <c r="G122" s="31"/>
      <c r="H122" s="30"/>
      <c r="I122" s="16" t="s">
        <v>17</v>
      </c>
      <c r="J122" s="8"/>
      <c r="K122" s="8"/>
      <c r="L122" s="8" t="s">
        <v>323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84" customHeight="1" x14ac:dyDescent="0.35">
      <c r="A123" s="16" t="s">
        <v>482</v>
      </c>
      <c r="B123" s="30" t="s">
        <v>483</v>
      </c>
      <c r="C123" s="36" t="s">
        <v>484</v>
      </c>
      <c r="D123" s="31">
        <v>2024</v>
      </c>
      <c r="E123" s="32"/>
      <c r="F123" s="31" t="s">
        <v>129</v>
      </c>
      <c r="G123" s="31"/>
      <c r="H123" s="30"/>
      <c r="I123" s="16" t="s">
        <v>17</v>
      </c>
      <c r="J123" s="8"/>
      <c r="K123" s="8"/>
      <c r="L123" s="8" t="s">
        <v>327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84" customHeight="1" x14ac:dyDescent="0.35">
      <c r="A124" s="16" t="s">
        <v>485</v>
      </c>
      <c r="B124" s="30" t="s">
        <v>486</v>
      </c>
      <c r="C124" s="36" t="s">
        <v>457</v>
      </c>
      <c r="D124" s="31">
        <v>2024</v>
      </c>
      <c r="E124" s="32"/>
      <c r="F124" s="31" t="s">
        <v>129</v>
      </c>
      <c r="G124" s="31"/>
      <c r="H124" s="30"/>
      <c r="I124" s="16" t="s">
        <v>17</v>
      </c>
      <c r="J124" s="8"/>
      <c r="K124" s="8"/>
      <c r="L124" s="8" t="s">
        <v>331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84" customHeight="1" x14ac:dyDescent="0.35">
      <c r="A125" s="16" t="s">
        <v>487</v>
      </c>
      <c r="B125" s="30" t="s">
        <v>488</v>
      </c>
      <c r="C125" s="36" t="s">
        <v>489</v>
      </c>
      <c r="D125" s="31">
        <v>2024</v>
      </c>
      <c r="E125" s="32"/>
      <c r="F125" s="31" t="s">
        <v>129</v>
      </c>
      <c r="G125" s="31"/>
      <c r="H125" s="30"/>
      <c r="I125" s="16" t="s">
        <v>17</v>
      </c>
      <c r="J125" s="8"/>
      <c r="K125" s="8"/>
      <c r="L125" s="8" t="s">
        <v>335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84" customHeight="1" x14ac:dyDescent="0.35">
      <c r="A126" s="16" t="s">
        <v>490</v>
      </c>
      <c r="B126" s="30" t="s">
        <v>491</v>
      </c>
      <c r="C126" s="36" t="s">
        <v>492</v>
      </c>
      <c r="D126" s="31">
        <v>2024</v>
      </c>
      <c r="E126" s="32"/>
      <c r="F126" s="31" t="s">
        <v>129</v>
      </c>
      <c r="G126" s="31"/>
      <c r="H126" s="30"/>
      <c r="I126" s="16" t="s">
        <v>17</v>
      </c>
      <c r="J126" s="8"/>
      <c r="K126" s="8"/>
      <c r="L126" s="8" t="s">
        <v>339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84" customHeight="1" x14ac:dyDescent="0.35">
      <c r="A127" s="16" t="s">
        <v>493</v>
      </c>
      <c r="B127" s="30" t="s">
        <v>494</v>
      </c>
      <c r="C127" s="36" t="s">
        <v>495</v>
      </c>
      <c r="D127" s="31">
        <v>2024</v>
      </c>
      <c r="E127" s="32"/>
      <c r="F127" s="31" t="s">
        <v>129</v>
      </c>
      <c r="G127" s="31"/>
      <c r="H127" s="30"/>
      <c r="I127" s="16" t="s">
        <v>17</v>
      </c>
      <c r="J127" s="8"/>
      <c r="K127" s="8"/>
      <c r="L127" s="8" t="s">
        <v>343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84" customHeight="1" x14ac:dyDescent="0.35">
      <c r="A128" s="16" t="s">
        <v>496</v>
      </c>
      <c r="B128" s="30" t="s">
        <v>497</v>
      </c>
      <c r="C128" s="36" t="s">
        <v>498</v>
      </c>
      <c r="D128" s="31">
        <v>2024</v>
      </c>
      <c r="E128" s="32"/>
      <c r="F128" s="31" t="s">
        <v>129</v>
      </c>
      <c r="G128" s="31"/>
      <c r="H128" s="30"/>
      <c r="I128" s="16" t="s">
        <v>17</v>
      </c>
      <c r="J128" s="8"/>
      <c r="K128" s="8"/>
      <c r="L128" s="8" t="s">
        <v>347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84" customHeight="1" x14ac:dyDescent="0.35">
      <c r="A129" s="16" t="s">
        <v>499</v>
      </c>
      <c r="B129" s="30" t="s">
        <v>500</v>
      </c>
      <c r="C129" s="36" t="s">
        <v>466</v>
      </c>
      <c r="D129" s="31">
        <v>2024</v>
      </c>
      <c r="E129" s="32"/>
      <c r="F129" s="31" t="s">
        <v>129</v>
      </c>
      <c r="G129" s="31"/>
      <c r="H129" s="30"/>
      <c r="I129" s="16" t="s">
        <v>17</v>
      </c>
      <c r="J129" s="8"/>
      <c r="K129" s="8"/>
      <c r="L129" s="8" t="s">
        <v>351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84" customHeight="1" x14ac:dyDescent="0.35">
      <c r="A130" s="16" t="s">
        <v>501</v>
      </c>
      <c r="B130" s="30" t="s">
        <v>502</v>
      </c>
      <c r="C130" s="36" t="s">
        <v>435</v>
      </c>
      <c r="D130" s="31">
        <v>2024</v>
      </c>
      <c r="E130" s="32"/>
      <c r="F130" s="31" t="s">
        <v>129</v>
      </c>
      <c r="G130" s="31"/>
      <c r="H130" s="30"/>
      <c r="I130" s="16" t="s">
        <v>17</v>
      </c>
      <c r="J130" s="8"/>
      <c r="K130" s="8"/>
      <c r="L130" s="8" t="s">
        <v>355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84" customHeight="1" x14ac:dyDescent="0.35">
      <c r="A131" s="16" t="s">
        <v>503</v>
      </c>
      <c r="B131" s="30" t="s">
        <v>504</v>
      </c>
      <c r="C131" s="36" t="s">
        <v>505</v>
      </c>
      <c r="D131" s="31">
        <v>2024</v>
      </c>
      <c r="E131" s="32"/>
      <c r="F131" s="31" t="s">
        <v>129</v>
      </c>
      <c r="G131" s="31"/>
      <c r="H131" s="30"/>
      <c r="I131" s="16" t="s">
        <v>17</v>
      </c>
      <c r="J131" s="8"/>
      <c r="K131" s="8"/>
      <c r="L131" s="8" t="s">
        <v>358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84" customHeight="1" x14ac:dyDescent="0.35">
      <c r="A132" s="16" t="s">
        <v>506</v>
      </c>
      <c r="B132" s="30" t="s">
        <v>507</v>
      </c>
      <c r="C132" s="36" t="s">
        <v>508</v>
      </c>
      <c r="D132" s="31">
        <v>2024</v>
      </c>
      <c r="E132" s="32"/>
      <c r="F132" s="31" t="s">
        <v>129</v>
      </c>
      <c r="G132" s="31"/>
      <c r="H132" s="30"/>
      <c r="I132" s="16" t="s">
        <v>17</v>
      </c>
      <c r="J132" s="8"/>
      <c r="K132" s="8"/>
      <c r="L132" s="8" t="s">
        <v>362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84" customHeight="1" x14ac:dyDescent="0.35">
      <c r="A133" s="16" t="s">
        <v>509</v>
      </c>
      <c r="B133" s="30" t="s">
        <v>510</v>
      </c>
      <c r="C133" s="36" t="s">
        <v>511</v>
      </c>
      <c r="D133" s="31">
        <v>2024</v>
      </c>
      <c r="E133" s="32"/>
      <c r="F133" s="31" t="s">
        <v>129</v>
      </c>
      <c r="G133" s="31"/>
      <c r="H133" s="30"/>
      <c r="I133" s="16" t="s">
        <v>17</v>
      </c>
      <c r="J133" s="8"/>
      <c r="K133" s="8"/>
      <c r="L133" s="8" t="s">
        <v>366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84" customHeight="1" x14ac:dyDescent="0.35">
      <c r="A134" s="16" t="s">
        <v>512</v>
      </c>
      <c r="B134" s="30" t="s">
        <v>513</v>
      </c>
      <c r="C134" s="36" t="s">
        <v>432</v>
      </c>
      <c r="D134" s="31">
        <v>2024</v>
      </c>
      <c r="E134" s="32"/>
      <c r="F134" s="31" t="s">
        <v>129</v>
      </c>
      <c r="G134" s="31"/>
      <c r="H134" s="30"/>
      <c r="I134" s="16" t="s">
        <v>17</v>
      </c>
      <c r="J134" s="8"/>
      <c r="K134" s="8"/>
      <c r="L134" s="8" t="s">
        <v>370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84" customHeight="1" x14ac:dyDescent="0.35">
      <c r="A135" s="16" t="s">
        <v>514</v>
      </c>
      <c r="B135" s="30" t="s">
        <v>515</v>
      </c>
      <c r="C135" s="36" t="s">
        <v>516</v>
      </c>
      <c r="D135" s="31">
        <v>2024</v>
      </c>
      <c r="E135" s="32"/>
      <c r="F135" s="31" t="s">
        <v>129</v>
      </c>
      <c r="G135" s="31"/>
      <c r="H135" s="30"/>
      <c r="I135" s="16" t="s">
        <v>17</v>
      </c>
      <c r="J135" s="8"/>
      <c r="K135" s="8"/>
      <c r="L135" s="8" t="s">
        <v>374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84" customHeight="1" x14ac:dyDescent="0.35">
      <c r="A136" s="16" t="s">
        <v>517</v>
      </c>
      <c r="B136" s="30" t="s">
        <v>518</v>
      </c>
      <c r="C136" s="36" t="s">
        <v>519</v>
      </c>
      <c r="D136" s="31">
        <v>2024</v>
      </c>
      <c r="E136" s="32"/>
      <c r="F136" s="31" t="s">
        <v>129</v>
      </c>
      <c r="G136" s="31"/>
      <c r="H136" s="30"/>
      <c r="I136" s="16" t="s">
        <v>17</v>
      </c>
      <c r="J136" s="8"/>
      <c r="K136" s="8"/>
      <c r="L136" s="8" t="s">
        <v>378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84" customHeight="1" x14ac:dyDescent="0.35">
      <c r="A137" s="16" t="s">
        <v>520</v>
      </c>
      <c r="B137" s="30" t="s">
        <v>521</v>
      </c>
      <c r="C137" s="36" t="s">
        <v>432</v>
      </c>
      <c r="D137" s="31">
        <v>2024</v>
      </c>
      <c r="E137" s="32"/>
      <c r="F137" s="31" t="s">
        <v>129</v>
      </c>
      <c r="G137" s="31"/>
      <c r="H137" s="30"/>
      <c r="I137" s="16" t="s">
        <v>17</v>
      </c>
      <c r="J137" s="8"/>
      <c r="K137" s="8"/>
      <c r="L137" s="8" t="s">
        <v>382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84" customHeight="1" x14ac:dyDescent="0.35">
      <c r="A138" s="16" t="s">
        <v>522</v>
      </c>
      <c r="B138" s="30" t="s">
        <v>523</v>
      </c>
      <c r="C138" s="36" t="s">
        <v>313</v>
      </c>
      <c r="D138" s="31">
        <v>2024</v>
      </c>
      <c r="E138" s="32"/>
      <c r="F138" s="31" t="s">
        <v>129</v>
      </c>
      <c r="G138" s="31"/>
      <c r="H138" s="30"/>
      <c r="I138" s="16" t="s">
        <v>17</v>
      </c>
      <c r="J138" s="8"/>
      <c r="K138" s="8"/>
      <c r="L138" s="8" t="s">
        <v>386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84" customHeight="1" x14ac:dyDescent="0.35">
      <c r="A139" s="16" t="s">
        <v>524</v>
      </c>
      <c r="B139" s="37" t="s">
        <v>525</v>
      </c>
      <c r="C139" s="36" t="s">
        <v>526</v>
      </c>
      <c r="D139" s="31">
        <v>2024</v>
      </c>
      <c r="E139" s="32">
        <v>957070000</v>
      </c>
      <c r="F139" s="31" t="s">
        <v>15</v>
      </c>
      <c r="G139" s="31"/>
      <c r="H139" s="30"/>
      <c r="I139" s="16" t="s">
        <v>17</v>
      </c>
      <c r="J139" s="8"/>
      <c r="K139" s="8"/>
      <c r="L139" s="8" t="s">
        <v>390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84" customHeight="1" x14ac:dyDescent="0.35">
      <c r="A140" s="8"/>
      <c r="B140" s="8"/>
      <c r="C140" s="1"/>
      <c r="D140" s="2"/>
      <c r="E140" s="3"/>
      <c r="F140" s="4"/>
      <c r="G140" s="2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84" customHeight="1" x14ac:dyDescent="0.35">
      <c r="A141" s="8"/>
      <c r="B141" s="8"/>
      <c r="C141" s="1"/>
      <c r="D141" s="2"/>
      <c r="E141" s="3"/>
      <c r="F141" s="4"/>
      <c r="G141" s="2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84" customHeight="1" x14ac:dyDescent="0.35">
      <c r="A142" s="8"/>
      <c r="B142" s="8"/>
      <c r="C142" s="1"/>
      <c r="D142" s="2"/>
      <c r="E142" s="3"/>
      <c r="F142" s="4"/>
      <c r="G142" s="2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84" customHeight="1" x14ac:dyDescent="0.35">
      <c r="A143" s="8"/>
      <c r="B143" s="8"/>
      <c r="C143" s="1"/>
      <c r="D143" s="2"/>
      <c r="E143" s="3"/>
      <c r="F143" s="4"/>
      <c r="G143" s="2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84" customHeight="1" x14ac:dyDescent="0.35">
      <c r="A144" s="8"/>
      <c r="B144" s="8"/>
      <c r="C144" s="1"/>
      <c r="D144" s="2"/>
      <c r="E144" s="3"/>
      <c r="F144" s="4"/>
      <c r="G144" s="2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84" customHeight="1" x14ac:dyDescent="0.35">
      <c r="A145" s="8"/>
      <c r="B145" s="8"/>
      <c r="C145" s="1"/>
      <c r="D145" s="2"/>
      <c r="E145" s="3"/>
      <c r="F145" s="4"/>
      <c r="G145" s="2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84" customHeight="1" x14ac:dyDescent="0.35">
      <c r="A146" s="8"/>
      <c r="B146" s="8"/>
      <c r="C146" s="1"/>
      <c r="D146" s="2"/>
      <c r="E146" s="3"/>
      <c r="F146" s="4"/>
      <c r="G146" s="2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84" customHeight="1" x14ac:dyDescent="0.35">
      <c r="A147" s="8"/>
      <c r="B147" s="8"/>
      <c r="C147" s="1"/>
      <c r="D147" s="2"/>
      <c r="E147" s="3"/>
      <c r="F147" s="4"/>
      <c r="G147" s="2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84" customHeight="1" x14ac:dyDescent="0.35">
      <c r="A148" s="8"/>
      <c r="B148" s="8"/>
      <c r="C148" s="1"/>
      <c r="D148" s="2"/>
      <c r="E148" s="3"/>
      <c r="F148" s="4"/>
      <c r="G148" s="2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84" customHeight="1" x14ac:dyDescent="0.35">
      <c r="A149" s="8"/>
      <c r="B149" s="8"/>
      <c r="C149" s="1"/>
      <c r="D149" s="2"/>
      <c r="E149" s="3"/>
      <c r="F149" s="4"/>
      <c r="G149" s="2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84" customHeight="1" x14ac:dyDescent="0.35">
      <c r="A150" s="8"/>
      <c r="B150" s="8"/>
      <c r="C150" s="1"/>
      <c r="D150" s="2"/>
      <c r="E150" s="3"/>
      <c r="F150" s="4"/>
      <c r="G150" s="2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84" customHeight="1" x14ac:dyDescent="0.35">
      <c r="A151" s="8"/>
      <c r="B151" s="8"/>
      <c r="C151" s="1"/>
      <c r="D151" s="2"/>
      <c r="E151" s="3"/>
      <c r="F151" s="4"/>
      <c r="G151" s="2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84" customHeight="1" x14ac:dyDescent="0.35">
      <c r="A152" s="8"/>
      <c r="B152" s="8"/>
      <c r="C152" s="1"/>
      <c r="D152" s="2"/>
      <c r="E152" s="3"/>
      <c r="F152" s="4"/>
      <c r="G152" s="2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84" customHeight="1" x14ac:dyDescent="0.35">
      <c r="A153" s="8"/>
      <c r="B153" s="8"/>
      <c r="C153" s="1"/>
      <c r="D153" s="2"/>
      <c r="E153" s="3"/>
      <c r="F153" s="4"/>
      <c r="G153" s="2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84" customHeight="1" x14ac:dyDescent="0.35">
      <c r="A154" s="8"/>
      <c r="B154" s="8"/>
      <c r="C154" s="1"/>
      <c r="D154" s="2"/>
      <c r="E154" s="3"/>
      <c r="F154" s="4"/>
      <c r="G154" s="2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84" customHeight="1" x14ac:dyDescent="0.35">
      <c r="A155" s="8"/>
      <c r="B155" s="8"/>
      <c r="C155" s="1"/>
      <c r="D155" s="2"/>
      <c r="E155" s="3"/>
      <c r="F155" s="4"/>
      <c r="G155" s="2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84" customHeight="1" x14ac:dyDescent="0.35">
      <c r="A156" s="8"/>
      <c r="B156" s="8"/>
      <c r="C156" s="1"/>
      <c r="D156" s="2"/>
      <c r="E156" s="3"/>
      <c r="F156" s="4"/>
      <c r="G156" s="2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84" customHeight="1" x14ac:dyDescent="0.35">
      <c r="A157" s="8"/>
      <c r="B157" s="8"/>
      <c r="C157" s="1"/>
      <c r="D157" s="2"/>
      <c r="E157" s="3"/>
      <c r="F157" s="4"/>
      <c r="G157" s="2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84" customHeight="1" x14ac:dyDescent="0.35">
      <c r="A158" s="8"/>
      <c r="B158" s="8"/>
      <c r="C158" s="1"/>
      <c r="D158" s="2"/>
      <c r="E158" s="3"/>
      <c r="F158" s="4"/>
      <c r="G158" s="2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84" customHeight="1" x14ac:dyDescent="0.35">
      <c r="A159" s="8"/>
      <c r="B159" s="8"/>
      <c r="C159" s="1"/>
      <c r="D159" s="2"/>
      <c r="E159" s="3"/>
      <c r="F159" s="4"/>
      <c r="G159" s="2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84" customHeight="1" x14ac:dyDescent="0.35">
      <c r="A160" s="8"/>
      <c r="B160" s="8"/>
      <c r="C160" s="1"/>
      <c r="D160" s="2"/>
      <c r="E160" s="3"/>
      <c r="F160" s="4"/>
      <c r="G160" s="2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84" customHeight="1" x14ac:dyDescent="0.35">
      <c r="A161" s="8"/>
      <c r="B161" s="8"/>
      <c r="C161" s="1"/>
      <c r="D161" s="2"/>
      <c r="E161" s="3"/>
      <c r="F161" s="4"/>
      <c r="G161" s="2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84" customHeight="1" x14ac:dyDescent="0.35">
      <c r="A162" s="8"/>
      <c r="B162" s="8"/>
      <c r="C162" s="1"/>
      <c r="D162" s="2"/>
      <c r="E162" s="3"/>
      <c r="F162" s="4"/>
      <c r="G162" s="2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84" customHeight="1" x14ac:dyDescent="0.35">
      <c r="A163" s="8"/>
      <c r="B163" s="8"/>
      <c r="C163" s="1"/>
      <c r="D163" s="2"/>
      <c r="E163" s="3"/>
      <c r="F163" s="4"/>
      <c r="G163" s="2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84" customHeight="1" x14ac:dyDescent="0.35">
      <c r="A164" s="8"/>
      <c r="B164" s="8"/>
      <c r="C164" s="1"/>
      <c r="D164" s="2"/>
      <c r="E164" s="3"/>
      <c r="F164" s="4"/>
      <c r="G164" s="2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84" customHeight="1" x14ac:dyDescent="0.35">
      <c r="A165" s="8"/>
      <c r="B165" s="8"/>
      <c r="C165" s="1"/>
      <c r="D165" s="2"/>
      <c r="E165" s="3"/>
      <c r="F165" s="4"/>
      <c r="G165" s="2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84" customHeight="1" x14ac:dyDescent="0.35">
      <c r="A166" s="8"/>
      <c r="B166" s="8"/>
      <c r="C166" s="1"/>
      <c r="D166" s="2"/>
      <c r="E166" s="3"/>
      <c r="F166" s="4"/>
      <c r="G166" s="2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84" customHeight="1" x14ac:dyDescent="0.35">
      <c r="A167" s="8"/>
      <c r="B167" s="8"/>
      <c r="C167" s="1"/>
      <c r="D167" s="2"/>
      <c r="E167" s="3"/>
      <c r="F167" s="4"/>
      <c r="G167" s="2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84" customHeight="1" x14ac:dyDescent="0.35">
      <c r="A168" s="8"/>
      <c r="B168" s="8"/>
      <c r="C168" s="1"/>
      <c r="D168" s="2"/>
      <c r="E168" s="3"/>
      <c r="F168" s="4"/>
      <c r="G168" s="2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84" customHeight="1" x14ac:dyDescent="0.35">
      <c r="A169" s="8"/>
      <c r="B169" s="8"/>
      <c r="C169" s="1"/>
      <c r="D169" s="2"/>
      <c r="E169" s="3"/>
      <c r="F169" s="4"/>
      <c r="G169" s="2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84" customHeight="1" x14ac:dyDescent="0.35">
      <c r="A170" s="8"/>
      <c r="B170" s="8"/>
      <c r="C170" s="1"/>
      <c r="D170" s="2"/>
      <c r="E170" s="3"/>
      <c r="F170" s="4"/>
      <c r="G170" s="2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84" customHeight="1" x14ac:dyDescent="0.35">
      <c r="A171" s="8"/>
      <c r="B171" s="8"/>
      <c r="C171" s="1"/>
      <c r="D171" s="2"/>
      <c r="E171" s="3"/>
      <c r="F171" s="4"/>
      <c r="G171" s="2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84" customHeight="1" x14ac:dyDescent="0.35">
      <c r="A172" s="8"/>
      <c r="B172" s="8"/>
      <c r="C172" s="1"/>
      <c r="D172" s="2"/>
      <c r="E172" s="3"/>
      <c r="F172" s="4"/>
      <c r="G172" s="2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84" customHeight="1" x14ac:dyDescent="0.35">
      <c r="A173" s="8"/>
      <c r="B173" s="8"/>
      <c r="C173" s="1"/>
      <c r="D173" s="2"/>
      <c r="E173" s="3"/>
      <c r="F173" s="4"/>
      <c r="G173" s="2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84" customHeight="1" x14ac:dyDescent="0.35">
      <c r="A174" s="8"/>
      <c r="B174" s="8"/>
      <c r="C174" s="1"/>
      <c r="D174" s="2"/>
      <c r="E174" s="3"/>
      <c r="F174" s="4"/>
      <c r="G174" s="2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84" customHeight="1" x14ac:dyDescent="0.35">
      <c r="A175" s="8"/>
      <c r="B175" s="8"/>
      <c r="C175" s="1"/>
      <c r="D175" s="2"/>
      <c r="E175" s="3"/>
      <c r="F175" s="4"/>
      <c r="G175" s="2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84" customHeight="1" x14ac:dyDescent="0.35">
      <c r="A176" s="8"/>
      <c r="B176" s="8"/>
      <c r="C176" s="1"/>
      <c r="D176" s="2"/>
      <c r="E176" s="3"/>
      <c r="F176" s="4"/>
      <c r="G176" s="2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84" customHeight="1" x14ac:dyDescent="0.35">
      <c r="A177" s="8"/>
      <c r="B177" s="8"/>
      <c r="C177" s="1"/>
      <c r="D177" s="2"/>
      <c r="E177" s="3"/>
      <c r="F177" s="4"/>
      <c r="G177" s="2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84" customHeight="1" x14ac:dyDescent="0.35">
      <c r="A178" s="8"/>
      <c r="B178" s="8"/>
      <c r="C178" s="1"/>
      <c r="D178" s="2"/>
      <c r="E178" s="3"/>
      <c r="F178" s="4"/>
      <c r="G178" s="2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84" customHeight="1" x14ac:dyDescent="0.35">
      <c r="A179" s="8"/>
      <c r="B179" s="8"/>
      <c r="C179" s="1"/>
      <c r="D179" s="2"/>
      <c r="E179" s="3"/>
      <c r="F179" s="4"/>
      <c r="G179" s="2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84" customHeight="1" x14ac:dyDescent="0.35">
      <c r="A180" s="8"/>
      <c r="B180" s="8"/>
      <c r="C180" s="1"/>
      <c r="D180" s="2"/>
      <c r="E180" s="3"/>
      <c r="F180" s="4"/>
      <c r="G180" s="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84" customHeight="1" x14ac:dyDescent="0.35">
      <c r="A181" s="8"/>
      <c r="B181" s="8"/>
      <c r="C181" s="1"/>
      <c r="D181" s="2"/>
      <c r="E181" s="3"/>
      <c r="F181" s="4"/>
      <c r="G181" s="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84" customHeight="1" x14ac:dyDescent="0.35">
      <c r="A182" s="8"/>
      <c r="B182" s="8"/>
      <c r="C182" s="1"/>
      <c r="D182" s="2"/>
      <c r="E182" s="3"/>
      <c r="F182" s="4"/>
      <c r="G182" s="2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84" customHeight="1" x14ac:dyDescent="0.35">
      <c r="A183" s="8"/>
      <c r="B183" s="8"/>
      <c r="C183" s="1"/>
      <c r="D183" s="2"/>
      <c r="E183" s="3"/>
      <c r="F183" s="4"/>
      <c r="G183" s="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84" customHeight="1" x14ac:dyDescent="0.35">
      <c r="A184" s="8"/>
      <c r="B184" s="8"/>
      <c r="C184" s="1"/>
      <c r="D184" s="2"/>
      <c r="E184" s="3"/>
      <c r="F184" s="4"/>
      <c r="G184" s="2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84" customHeight="1" x14ac:dyDescent="0.35">
      <c r="A185" s="8"/>
      <c r="B185" s="8"/>
      <c r="C185" s="1"/>
      <c r="D185" s="2"/>
      <c r="E185" s="3"/>
      <c r="F185" s="4"/>
      <c r="G185" s="2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84" customHeight="1" x14ac:dyDescent="0.35">
      <c r="A186" s="8"/>
      <c r="B186" s="8"/>
      <c r="C186" s="1"/>
      <c r="D186" s="2"/>
      <c r="E186" s="3"/>
      <c r="F186" s="4"/>
      <c r="G186" s="2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84" customHeight="1" x14ac:dyDescent="0.35">
      <c r="A187" s="8"/>
      <c r="B187" s="8"/>
      <c r="C187" s="1"/>
      <c r="D187" s="2"/>
      <c r="E187" s="3"/>
      <c r="F187" s="4"/>
      <c r="G187" s="2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84" customHeight="1" x14ac:dyDescent="0.35">
      <c r="A188" s="8"/>
      <c r="B188" s="8"/>
      <c r="C188" s="1"/>
      <c r="D188" s="2"/>
      <c r="E188" s="3"/>
      <c r="F188" s="4"/>
      <c r="G188" s="2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84" customHeight="1" x14ac:dyDescent="0.35">
      <c r="A189" s="8"/>
      <c r="B189" s="8"/>
      <c r="C189" s="1"/>
      <c r="D189" s="2"/>
      <c r="E189" s="3"/>
      <c r="F189" s="4"/>
      <c r="G189" s="2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84" customHeight="1" x14ac:dyDescent="0.35">
      <c r="A190" s="8"/>
      <c r="B190" s="8"/>
      <c r="C190" s="1"/>
      <c r="D190" s="2"/>
      <c r="E190" s="3"/>
      <c r="F190" s="4"/>
      <c r="G190" s="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84" customHeight="1" x14ac:dyDescent="0.35">
      <c r="A191" s="8"/>
      <c r="B191" s="8"/>
      <c r="C191" s="1"/>
      <c r="D191" s="2"/>
      <c r="E191" s="3"/>
      <c r="F191" s="4"/>
      <c r="G191" s="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84" customHeight="1" x14ac:dyDescent="0.35">
      <c r="A192" s="8"/>
      <c r="B192" s="8"/>
      <c r="C192" s="1"/>
      <c r="D192" s="2"/>
      <c r="E192" s="3"/>
      <c r="F192" s="4"/>
      <c r="G192" s="2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84" customHeight="1" x14ac:dyDescent="0.35">
      <c r="A193" s="8"/>
      <c r="B193" s="8"/>
      <c r="C193" s="1"/>
      <c r="D193" s="2"/>
      <c r="E193" s="3"/>
      <c r="F193" s="4"/>
      <c r="G193" s="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84" customHeight="1" x14ac:dyDescent="0.35">
      <c r="A194" s="8"/>
      <c r="B194" s="8"/>
      <c r="C194" s="1"/>
      <c r="D194" s="2"/>
      <c r="E194" s="3"/>
      <c r="F194" s="4"/>
      <c r="G194" s="2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84" customHeight="1" x14ac:dyDescent="0.35">
      <c r="A195" s="8"/>
      <c r="B195" s="8"/>
      <c r="C195" s="1"/>
      <c r="D195" s="2"/>
      <c r="E195" s="3"/>
      <c r="F195" s="4"/>
      <c r="G195" s="2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84" customHeight="1" x14ac:dyDescent="0.35">
      <c r="A196" s="8"/>
      <c r="B196" s="8"/>
      <c r="C196" s="1"/>
      <c r="D196" s="2"/>
      <c r="E196" s="3"/>
      <c r="F196" s="4"/>
      <c r="G196" s="2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84" customHeight="1" x14ac:dyDescent="0.35">
      <c r="A197" s="8"/>
      <c r="B197" s="8"/>
      <c r="C197" s="1"/>
      <c r="D197" s="2"/>
      <c r="E197" s="3"/>
      <c r="F197" s="4"/>
      <c r="G197" s="2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84" customHeight="1" x14ac:dyDescent="0.35">
      <c r="A198" s="8"/>
      <c r="B198" s="8"/>
      <c r="C198" s="1"/>
      <c r="D198" s="2"/>
      <c r="E198" s="3"/>
      <c r="F198" s="4"/>
      <c r="G198" s="2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84" customHeight="1" x14ac:dyDescent="0.35">
      <c r="A199" s="8"/>
      <c r="B199" s="8"/>
      <c r="C199" s="1"/>
      <c r="D199" s="2"/>
      <c r="E199" s="3"/>
      <c r="F199" s="4"/>
      <c r="G199" s="2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84" customHeight="1" x14ac:dyDescent="0.35">
      <c r="A200" s="8"/>
      <c r="B200" s="8"/>
      <c r="C200" s="1"/>
      <c r="D200" s="2"/>
      <c r="E200" s="3"/>
      <c r="F200" s="4"/>
      <c r="G200" s="2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84" customHeight="1" x14ac:dyDescent="0.35">
      <c r="A201" s="8"/>
      <c r="B201" s="8"/>
      <c r="C201" s="1"/>
      <c r="D201" s="2"/>
      <c r="E201" s="3"/>
      <c r="F201" s="4"/>
      <c r="G201" s="2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84" customHeight="1" x14ac:dyDescent="0.35">
      <c r="A202" s="8"/>
      <c r="B202" s="8"/>
      <c r="C202" s="1"/>
      <c r="D202" s="2"/>
      <c r="E202" s="3"/>
      <c r="F202" s="4"/>
      <c r="G202" s="2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84" customHeight="1" x14ac:dyDescent="0.35">
      <c r="A203" s="8"/>
      <c r="B203" s="8"/>
      <c r="C203" s="1"/>
      <c r="D203" s="2"/>
      <c r="E203" s="3"/>
      <c r="F203" s="4"/>
      <c r="G203" s="2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84" customHeight="1" x14ac:dyDescent="0.35">
      <c r="A204" s="8"/>
      <c r="B204" s="8"/>
      <c r="C204" s="1"/>
      <c r="D204" s="2"/>
      <c r="E204" s="3"/>
      <c r="F204" s="4"/>
      <c r="G204" s="2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84" customHeight="1" x14ac:dyDescent="0.35">
      <c r="A205" s="8"/>
      <c r="B205" s="8"/>
      <c r="C205" s="1"/>
      <c r="D205" s="2"/>
      <c r="E205" s="3"/>
      <c r="F205" s="4"/>
      <c r="G205" s="2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84" customHeight="1" x14ac:dyDescent="0.35">
      <c r="A206" s="8"/>
      <c r="B206" s="8"/>
      <c r="C206" s="1"/>
      <c r="D206" s="2"/>
      <c r="E206" s="3"/>
      <c r="F206" s="4"/>
      <c r="G206" s="2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84" customHeight="1" x14ac:dyDescent="0.35">
      <c r="A207" s="8"/>
      <c r="B207" s="8"/>
      <c r="C207" s="1"/>
      <c r="D207" s="2"/>
      <c r="E207" s="3"/>
      <c r="F207" s="4"/>
      <c r="G207" s="2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84" customHeight="1" x14ac:dyDescent="0.35">
      <c r="A208" s="8"/>
      <c r="B208" s="8"/>
      <c r="C208" s="1"/>
      <c r="D208" s="2"/>
      <c r="E208" s="3"/>
      <c r="F208" s="4"/>
      <c r="G208" s="2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84" customHeight="1" x14ac:dyDescent="0.35">
      <c r="A209" s="8"/>
      <c r="B209" s="8"/>
      <c r="C209" s="1"/>
      <c r="D209" s="2"/>
      <c r="E209" s="3"/>
      <c r="F209" s="4"/>
      <c r="G209" s="2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84" customHeight="1" x14ac:dyDescent="0.35">
      <c r="A210" s="8"/>
      <c r="B210" s="8"/>
      <c r="C210" s="1"/>
      <c r="D210" s="2"/>
      <c r="E210" s="3"/>
      <c r="F210" s="4"/>
      <c r="G210" s="2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84" customHeight="1" x14ac:dyDescent="0.35">
      <c r="A211" s="8"/>
      <c r="B211" s="8"/>
      <c r="C211" s="1"/>
      <c r="D211" s="2"/>
      <c r="E211" s="3"/>
      <c r="F211" s="4"/>
      <c r="G211" s="2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84" customHeight="1" x14ac:dyDescent="0.35">
      <c r="A212" s="8"/>
      <c r="B212" s="8"/>
      <c r="C212" s="1"/>
      <c r="D212" s="2"/>
      <c r="E212" s="3"/>
      <c r="F212" s="4"/>
      <c r="G212" s="2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84" customHeight="1" x14ac:dyDescent="0.35">
      <c r="A213" s="8"/>
      <c r="B213" s="8"/>
      <c r="C213" s="1"/>
      <c r="D213" s="2"/>
      <c r="E213" s="3"/>
      <c r="F213" s="4"/>
      <c r="G213" s="2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84" customHeight="1" x14ac:dyDescent="0.35">
      <c r="A214" s="8"/>
      <c r="B214" s="8"/>
      <c r="C214" s="1"/>
      <c r="D214" s="2"/>
      <c r="E214" s="3"/>
      <c r="F214" s="4"/>
      <c r="G214" s="2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84" customHeight="1" x14ac:dyDescent="0.35">
      <c r="A215" s="8"/>
      <c r="B215" s="8"/>
      <c r="C215" s="1"/>
      <c r="D215" s="2"/>
      <c r="E215" s="3"/>
      <c r="F215" s="4"/>
      <c r="G215" s="2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84" customHeight="1" x14ac:dyDescent="0.35">
      <c r="A216" s="8"/>
      <c r="B216" s="8"/>
      <c r="C216" s="1"/>
      <c r="D216" s="2"/>
      <c r="E216" s="3"/>
      <c r="F216" s="4"/>
      <c r="G216" s="2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84" customHeight="1" x14ac:dyDescent="0.35">
      <c r="A217" s="8"/>
      <c r="B217" s="8"/>
      <c r="C217" s="1"/>
      <c r="D217" s="2"/>
      <c r="E217" s="3"/>
      <c r="F217" s="4"/>
      <c r="G217" s="2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84" customHeight="1" x14ac:dyDescent="0.35">
      <c r="A218" s="8"/>
      <c r="B218" s="8"/>
      <c r="C218" s="1"/>
      <c r="D218" s="2"/>
      <c r="E218" s="3"/>
      <c r="F218" s="4"/>
      <c r="G218" s="2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84" customHeight="1" x14ac:dyDescent="0.35">
      <c r="A219" s="8"/>
      <c r="B219" s="8"/>
      <c r="C219" s="1"/>
      <c r="D219" s="2"/>
      <c r="E219" s="3"/>
      <c r="F219" s="4"/>
      <c r="G219" s="2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84" customHeight="1" x14ac:dyDescent="0.35">
      <c r="A220" s="8"/>
      <c r="B220" s="8"/>
      <c r="C220" s="1"/>
      <c r="D220" s="2"/>
      <c r="E220" s="3"/>
      <c r="F220" s="4"/>
      <c r="G220" s="2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84" customHeight="1" x14ac:dyDescent="0.35">
      <c r="A221" s="8"/>
      <c r="B221" s="8"/>
      <c r="C221" s="1"/>
      <c r="D221" s="2"/>
      <c r="E221" s="3"/>
      <c r="F221" s="4"/>
      <c r="G221" s="2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84" customHeight="1" x14ac:dyDescent="0.35">
      <c r="A222" s="8"/>
      <c r="B222" s="8"/>
      <c r="C222" s="1"/>
      <c r="D222" s="2"/>
      <c r="E222" s="3"/>
      <c r="F222" s="4"/>
      <c r="G222" s="2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84" customHeight="1" x14ac:dyDescent="0.35">
      <c r="A223" s="8"/>
      <c r="B223" s="8"/>
      <c r="C223" s="1"/>
      <c r="D223" s="2"/>
      <c r="E223" s="3"/>
      <c r="F223" s="4"/>
      <c r="G223" s="2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84" customHeight="1" x14ac:dyDescent="0.35">
      <c r="A224" s="8"/>
      <c r="B224" s="8"/>
      <c r="C224" s="1"/>
      <c r="D224" s="2"/>
      <c r="E224" s="3"/>
      <c r="F224" s="4"/>
      <c r="G224" s="2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84" customHeight="1" x14ac:dyDescent="0.35">
      <c r="A225" s="8"/>
      <c r="B225" s="8"/>
      <c r="C225" s="1"/>
      <c r="D225" s="2"/>
      <c r="E225" s="3"/>
      <c r="F225" s="4"/>
      <c r="G225" s="2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84" customHeight="1" x14ac:dyDescent="0.35">
      <c r="A226" s="8"/>
      <c r="B226" s="8"/>
      <c r="C226" s="1"/>
      <c r="D226" s="2"/>
      <c r="E226" s="3"/>
      <c r="F226" s="4"/>
      <c r="G226" s="2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84" customHeight="1" x14ac:dyDescent="0.35">
      <c r="A227" s="8"/>
      <c r="B227" s="8"/>
      <c r="C227" s="1"/>
      <c r="D227" s="2"/>
      <c r="E227" s="3"/>
      <c r="F227" s="4"/>
      <c r="G227" s="2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84" customHeight="1" x14ac:dyDescent="0.35">
      <c r="A228" s="8"/>
      <c r="B228" s="8"/>
      <c r="C228" s="1"/>
      <c r="D228" s="2"/>
      <c r="E228" s="3"/>
      <c r="F228" s="4"/>
      <c r="G228" s="2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84" customHeight="1" x14ac:dyDescent="0.35">
      <c r="A229" s="8"/>
      <c r="B229" s="8"/>
      <c r="C229" s="1"/>
      <c r="D229" s="2"/>
      <c r="E229" s="3"/>
      <c r="F229" s="4"/>
      <c r="G229" s="2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84" customHeight="1" x14ac:dyDescent="0.35">
      <c r="A230" s="8"/>
      <c r="B230" s="8"/>
      <c r="C230" s="1"/>
      <c r="D230" s="2"/>
      <c r="E230" s="3"/>
      <c r="F230" s="4"/>
      <c r="G230" s="2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84" customHeight="1" x14ac:dyDescent="0.35">
      <c r="A231" s="8"/>
      <c r="B231" s="8"/>
      <c r="C231" s="1"/>
      <c r="D231" s="2"/>
      <c r="E231" s="3"/>
      <c r="F231" s="4"/>
      <c r="G231" s="2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84" customHeight="1" x14ac:dyDescent="0.35">
      <c r="A232" s="8"/>
      <c r="B232" s="8"/>
      <c r="C232" s="1"/>
      <c r="D232" s="2"/>
      <c r="E232" s="3"/>
      <c r="F232" s="4"/>
      <c r="G232" s="2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84" customHeight="1" x14ac:dyDescent="0.35">
      <c r="A233" s="8"/>
      <c r="B233" s="8"/>
      <c r="C233" s="1"/>
      <c r="D233" s="2"/>
      <c r="E233" s="3"/>
      <c r="F233" s="4"/>
      <c r="G233" s="2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84" customHeight="1" x14ac:dyDescent="0.35">
      <c r="A234" s="8"/>
      <c r="B234" s="8"/>
      <c r="C234" s="1"/>
      <c r="D234" s="2"/>
      <c r="E234" s="3"/>
      <c r="F234" s="4"/>
      <c r="G234" s="2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84" customHeight="1" x14ac:dyDescent="0.35">
      <c r="A235" s="8"/>
      <c r="B235" s="8"/>
      <c r="C235" s="1"/>
      <c r="D235" s="2"/>
      <c r="E235" s="3"/>
      <c r="F235" s="4"/>
      <c r="G235" s="2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84" customHeight="1" x14ac:dyDescent="0.35">
      <c r="A236" s="8"/>
      <c r="B236" s="8"/>
      <c r="C236" s="1"/>
      <c r="D236" s="2"/>
      <c r="E236" s="3"/>
      <c r="F236" s="4"/>
      <c r="G236" s="2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84" customHeight="1" x14ac:dyDescent="0.35">
      <c r="A237" s="8"/>
      <c r="B237" s="8"/>
      <c r="C237" s="1"/>
      <c r="D237" s="2"/>
      <c r="E237" s="3"/>
      <c r="F237" s="4"/>
      <c r="G237" s="2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84" customHeight="1" x14ac:dyDescent="0.35">
      <c r="A238" s="8"/>
      <c r="B238" s="8"/>
      <c r="C238" s="1"/>
      <c r="D238" s="2"/>
      <c r="E238" s="3"/>
      <c r="F238" s="4"/>
      <c r="G238" s="2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84" customHeight="1" x14ac:dyDescent="0.35">
      <c r="A239" s="8"/>
      <c r="B239" s="8"/>
      <c r="C239" s="1"/>
      <c r="D239" s="2"/>
      <c r="E239" s="3"/>
      <c r="F239" s="4"/>
      <c r="G239" s="2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84" customHeight="1" x14ac:dyDescent="0.35">
      <c r="A240" s="8"/>
      <c r="B240" s="8"/>
      <c r="C240" s="1"/>
      <c r="D240" s="2"/>
      <c r="E240" s="3"/>
      <c r="F240" s="4"/>
      <c r="G240" s="2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84" customHeight="1" x14ac:dyDescent="0.35">
      <c r="A241" s="8"/>
      <c r="B241" s="8"/>
      <c r="C241" s="1"/>
      <c r="D241" s="2"/>
      <c r="E241" s="3"/>
      <c r="F241" s="4"/>
      <c r="G241" s="2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84" customHeight="1" x14ac:dyDescent="0.35">
      <c r="A242" s="8"/>
      <c r="B242" s="8"/>
      <c r="C242" s="1"/>
      <c r="D242" s="2"/>
      <c r="E242" s="3"/>
      <c r="F242" s="4"/>
      <c r="G242" s="2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84" customHeight="1" x14ac:dyDescent="0.35">
      <c r="A243" s="8"/>
      <c r="B243" s="8"/>
      <c r="C243" s="1"/>
      <c r="D243" s="2"/>
      <c r="E243" s="3"/>
      <c r="F243" s="4"/>
      <c r="G243" s="2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84" customHeight="1" x14ac:dyDescent="0.35">
      <c r="A244" s="8"/>
      <c r="B244" s="8"/>
      <c r="C244" s="1"/>
      <c r="D244" s="2"/>
      <c r="E244" s="3"/>
      <c r="F244" s="4"/>
      <c r="G244" s="2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84" customHeight="1" x14ac:dyDescent="0.35">
      <c r="A245" s="8"/>
      <c r="B245" s="8"/>
      <c r="C245" s="1"/>
      <c r="D245" s="2"/>
      <c r="E245" s="3"/>
      <c r="F245" s="4"/>
      <c r="G245" s="2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84" customHeight="1" x14ac:dyDescent="0.35">
      <c r="A246" s="8"/>
      <c r="B246" s="8"/>
      <c r="C246" s="1"/>
      <c r="D246" s="2"/>
      <c r="E246" s="3"/>
      <c r="F246" s="4"/>
      <c r="G246" s="2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84" customHeight="1" x14ac:dyDescent="0.35">
      <c r="A247" s="8"/>
      <c r="B247" s="8"/>
      <c r="C247" s="1"/>
      <c r="D247" s="2"/>
      <c r="E247" s="3"/>
      <c r="F247" s="4"/>
      <c r="G247" s="2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84" customHeight="1" x14ac:dyDescent="0.35">
      <c r="A248" s="8"/>
      <c r="B248" s="8"/>
      <c r="C248" s="1"/>
      <c r="D248" s="2"/>
      <c r="E248" s="3"/>
      <c r="F248" s="4"/>
      <c r="G248" s="2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84" customHeight="1" x14ac:dyDescent="0.35">
      <c r="A249" s="8"/>
      <c r="B249" s="8"/>
      <c r="C249" s="1"/>
      <c r="D249" s="2"/>
      <c r="E249" s="3"/>
      <c r="F249" s="4"/>
      <c r="G249" s="2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84" customHeight="1" x14ac:dyDescent="0.35">
      <c r="A250" s="8"/>
      <c r="B250" s="8"/>
      <c r="C250" s="1"/>
      <c r="D250" s="2"/>
      <c r="E250" s="3"/>
      <c r="F250" s="4"/>
      <c r="G250" s="2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84" customHeight="1" x14ac:dyDescent="0.35">
      <c r="A251" s="8"/>
      <c r="B251" s="8"/>
      <c r="C251" s="1"/>
      <c r="D251" s="2"/>
      <c r="E251" s="3"/>
      <c r="F251" s="4"/>
      <c r="G251" s="2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84" customHeight="1" x14ac:dyDescent="0.35">
      <c r="A252" s="8"/>
      <c r="B252" s="8"/>
      <c r="C252" s="1"/>
      <c r="D252" s="2"/>
      <c r="E252" s="3"/>
      <c r="F252" s="4"/>
      <c r="G252" s="2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84" customHeight="1" x14ac:dyDescent="0.35">
      <c r="A253" s="8"/>
      <c r="B253" s="8"/>
      <c r="C253" s="1"/>
      <c r="D253" s="2"/>
      <c r="E253" s="3"/>
      <c r="F253" s="4"/>
      <c r="G253" s="2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84" customHeight="1" x14ac:dyDescent="0.35">
      <c r="A254" s="8"/>
      <c r="B254" s="8"/>
      <c r="C254" s="1"/>
      <c r="D254" s="2"/>
      <c r="E254" s="3"/>
      <c r="F254" s="4"/>
      <c r="G254" s="2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84" customHeight="1" x14ac:dyDescent="0.35">
      <c r="A255" s="8"/>
      <c r="B255" s="8"/>
      <c r="C255" s="1"/>
      <c r="D255" s="2"/>
      <c r="E255" s="3"/>
      <c r="F255" s="4"/>
      <c r="G255" s="2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84" customHeight="1" x14ac:dyDescent="0.35">
      <c r="A256" s="8"/>
      <c r="B256" s="8"/>
      <c r="C256" s="1"/>
      <c r="D256" s="2"/>
      <c r="E256" s="3"/>
      <c r="F256" s="4"/>
      <c r="G256" s="2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84" customHeight="1" x14ac:dyDescent="0.35">
      <c r="A257" s="8"/>
      <c r="B257" s="8"/>
      <c r="C257" s="1"/>
      <c r="D257" s="2"/>
      <c r="E257" s="3"/>
      <c r="F257" s="4"/>
      <c r="G257" s="2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84" customHeight="1" x14ac:dyDescent="0.35">
      <c r="A258" s="8"/>
      <c r="B258" s="8"/>
      <c r="C258" s="1"/>
      <c r="D258" s="2"/>
      <c r="E258" s="3"/>
      <c r="F258" s="4"/>
      <c r="G258" s="2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84" customHeight="1" x14ac:dyDescent="0.35">
      <c r="A259" s="8"/>
      <c r="B259" s="8"/>
      <c r="C259" s="1"/>
      <c r="D259" s="2"/>
      <c r="E259" s="3"/>
      <c r="F259" s="4"/>
      <c r="G259" s="2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84" customHeight="1" x14ac:dyDescent="0.35">
      <c r="A260" s="8"/>
      <c r="B260" s="8"/>
      <c r="C260" s="1"/>
      <c r="D260" s="2"/>
      <c r="E260" s="3"/>
      <c r="F260" s="4"/>
      <c r="G260" s="2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84" customHeight="1" x14ac:dyDescent="0.35">
      <c r="A261" s="8"/>
      <c r="B261" s="8"/>
      <c r="C261" s="1"/>
      <c r="D261" s="2"/>
      <c r="E261" s="3"/>
      <c r="F261" s="4"/>
      <c r="G261" s="2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84" customHeight="1" x14ac:dyDescent="0.35">
      <c r="A262" s="8"/>
      <c r="B262" s="8"/>
      <c r="C262" s="1"/>
      <c r="D262" s="2"/>
      <c r="E262" s="3"/>
      <c r="F262" s="4"/>
      <c r="G262" s="2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84" customHeight="1" x14ac:dyDescent="0.35">
      <c r="A263" s="8"/>
      <c r="B263" s="8"/>
      <c r="C263" s="1"/>
      <c r="D263" s="2"/>
      <c r="E263" s="3"/>
      <c r="F263" s="4"/>
      <c r="G263" s="2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84" customHeight="1" x14ac:dyDescent="0.35">
      <c r="A264" s="8"/>
      <c r="B264" s="8"/>
      <c r="C264" s="1"/>
      <c r="D264" s="2"/>
      <c r="E264" s="3"/>
      <c r="F264" s="4"/>
      <c r="G264" s="2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84" customHeight="1" x14ac:dyDescent="0.35">
      <c r="A265" s="8"/>
      <c r="B265" s="8"/>
      <c r="C265" s="1"/>
      <c r="D265" s="2"/>
      <c r="E265" s="3"/>
      <c r="F265" s="4"/>
      <c r="G265" s="2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84" customHeight="1" x14ac:dyDescent="0.35">
      <c r="A266" s="8"/>
      <c r="B266" s="8"/>
      <c r="C266" s="1"/>
      <c r="D266" s="2"/>
      <c r="E266" s="3"/>
      <c r="F266" s="4"/>
      <c r="G266" s="2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84" customHeight="1" x14ac:dyDescent="0.35">
      <c r="A267" s="8"/>
      <c r="B267" s="8"/>
      <c r="C267" s="1"/>
      <c r="D267" s="2"/>
      <c r="E267" s="3"/>
      <c r="F267" s="4"/>
      <c r="G267" s="2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84" customHeight="1" x14ac:dyDescent="0.35">
      <c r="A268" s="8"/>
      <c r="B268" s="8"/>
      <c r="C268" s="1"/>
      <c r="D268" s="2"/>
      <c r="E268" s="3"/>
      <c r="F268" s="4"/>
      <c r="G268" s="2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84" customHeight="1" x14ac:dyDescent="0.35">
      <c r="A269" s="8"/>
      <c r="B269" s="8"/>
      <c r="C269" s="1"/>
      <c r="D269" s="2"/>
      <c r="E269" s="3"/>
      <c r="F269" s="4"/>
      <c r="G269" s="2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84" customHeight="1" x14ac:dyDescent="0.35">
      <c r="A270" s="8"/>
      <c r="B270" s="8"/>
      <c r="C270" s="1"/>
      <c r="D270" s="2"/>
      <c r="E270" s="3"/>
      <c r="F270" s="4"/>
      <c r="G270" s="2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84" customHeight="1" x14ac:dyDescent="0.35">
      <c r="A271" s="8"/>
      <c r="B271" s="8"/>
      <c r="C271" s="1"/>
      <c r="D271" s="2"/>
      <c r="E271" s="3"/>
      <c r="F271" s="4"/>
      <c r="G271" s="2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84" customHeight="1" x14ac:dyDescent="0.35">
      <c r="A272" s="8"/>
      <c r="B272" s="8"/>
      <c r="C272" s="1"/>
      <c r="D272" s="2"/>
      <c r="E272" s="3"/>
      <c r="F272" s="4"/>
      <c r="G272" s="2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84" customHeight="1" x14ac:dyDescent="0.35">
      <c r="A273" s="8"/>
      <c r="B273" s="8"/>
      <c r="C273" s="1"/>
      <c r="D273" s="2"/>
      <c r="E273" s="3"/>
      <c r="F273" s="4"/>
      <c r="G273" s="2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84" customHeight="1" x14ac:dyDescent="0.35">
      <c r="A274" s="8"/>
      <c r="B274" s="8"/>
      <c r="C274" s="1"/>
      <c r="D274" s="2"/>
      <c r="E274" s="3"/>
      <c r="F274" s="4"/>
      <c r="G274" s="2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84" customHeight="1" x14ac:dyDescent="0.35">
      <c r="A275" s="8"/>
      <c r="B275" s="8"/>
      <c r="C275" s="1"/>
      <c r="D275" s="2"/>
      <c r="E275" s="3"/>
      <c r="F275" s="4"/>
      <c r="G275" s="2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84" customHeight="1" x14ac:dyDescent="0.35">
      <c r="A276" s="8"/>
      <c r="B276" s="8"/>
      <c r="C276" s="1"/>
      <c r="D276" s="2"/>
      <c r="E276" s="3"/>
      <c r="F276" s="4"/>
      <c r="G276" s="2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84" customHeight="1" x14ac:dyDescent="0.35">
      <c r="A277" s="8"/>
      <c r="B277" s="8"/>
      <c r="C277" s="1"/>
      <c r="D277" s="2"/>
      <c r="E277" s="3"/>
      <c r="F277" s="4"/>
      <c r="G277" s="2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84" customHeight="1" x14ac:dyDescent="0.35">
      <c r="A278" s="8"/>
      <c r="B278" s="8"/>
      <c r="C278" s="1"/>
      <c r="D278" s="2"/>
      <c r="E278" s="3"/>
      <c r="F278" s="4"/>
      <c r="G278" s="2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84" customHeight="1" x14ac:dyDescent="0.35">
      <c r="A279" s="8"/>
      <c r="B279" s="8"/>
      <c r="C279" s="1"/>
      <c r="D279" s="2"/>
      <c r="E279" s="3"/>
      <c r="F279" s="4"/>
      <c r="G279" s="2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84" customHeight="1" x14ac:dyDescent="0.35">
      <c r="A280" s="8"/>
      <c r="B280" s="8"/>
      <c r="C280" s="1"/>
      <c r="D280" s="2"/>
      <c r="E280" s="3"/>
      <c r="F280" s="4"/>
      <c r="G280" s="2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84" customHeight="1" x14ac:dyDescent="0.35">
      <c r="A281" s="8"/>
      <c r="B281" s="8"/>
      <c r="C281" s="1"/>
      <c r="D281" s="2"/>
      <c r="E281" s="3"/>
      <c r="F281" s="4"/>
      <c r="G281" s="2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84" customHeight="1" x14ac:dyDescent="0.35">
      <c r="A282" s="8"/>
      <c r="B282" s="8"/>
      <c r="C282" s="1"/>
      <c r="D282" s="2"/>
      <c r="E282" s="3"/>
      <c r="F282" s="4"/>
      <c r="G282" s="2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84" customHeight="1" x14ac:dyDescent="0.35">
      <c r="A283" s="8"/>
      <c r="B283" s="8"/>
      <c r="C283" s="1"/>
      <c r="D283" s="2"/>
      <c r="E283" s="3"/>
      <c r="F283" s="4"/>
      <c r="G283" s="2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84" customHeight="1" x14ac:dyDescent="0.35">
      <c r="A284" s="8"/>
      <c r="B284" s="8"/>
      <c r="C284" s="1"/>
      <c r="D284" s="2"/>
      <c r="E284" s="3"/>
      <c r="F284" s="4"/>
      <c r="G284" s="2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84" customHeight="1" x14ac:dyDescent="0.35">
      <c r="A285" s="8"/>
      <c r="B285" s="8"/>
      <c r="C285" s="1"/>
      <c r="D285" s="2"/>
      <c r="E285" s="3"/>
      <c r="F285" s="4"/>
      <c r="G285" s="2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84" customHeight="1" x14ac:dyDescent="0.35">
      <c r="A286" s="8"/>
      <c r="B286" s="8"/>
      <c r="C286" s="1"/>
      <c r="D286" s="2"/>
      <c r="E286" s="3"/>
      <c r="F286" s="4"/>
      <c r="G286" s="2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84" customHeight="1" x14ac:dyDescent="0.35">
      <c r="A287" s="8"/>
      <c r="B287" s="8"/>
      <c r="C287" s="1"/>
      <c r="D287" s="2"/>
      <c r="E287" s="3"/>
      <c r="F287" s="4"/>
      <c r="G287" s="2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84" customHeight="1" x14ac:dyDescent="0.35">
      <c r="A288" s="8"/>
      <c r="B288" s="8"/>
      <c r="C288" s="1"/>
      <c r="D288" s="2"/>
      <c r="E288" s="3"/>
      <c r="F288" s="4"/>
      <c r="G288" s="2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84" customHeight="1" x14ac:dyDescent="0.35">
      <c r="A289" s="8"/>
      <c r="B289" s="8"/>
      <c r="C289" s="1"/>
      <c r="D289" s="2"/>
      <c r="E289" s="3"/>
      <c r="F289" s="4"/>
      <c r="G289" s="2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84" customHeight="1" x14ac:dyDescent="0.35">
      <c r="A290" s="8"/>
      <c r="B290" s="8"/>
      <c r="C290" s="1"/>
      <c r="D290" s="2"/>
      <c r="E290" s="3"/>
      <c r="F290" s="4"/>
      <c r="G290" s="2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84" customHeight="1" x14ac:dyDescent="0.35">
      <c r="A291" s="8"/>
      <c r="B291" s="8"/>
      <c r="C291" s="1"/>
      <c r="D291" s="2"/>
      <c r="E291" s="3"/>
      <c r="F291" s="4"/>
      <c r="G291" s="2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84" customHeight="1" x14ac:dyDescent="0.35">
      <c r="A292" s="8"/>
      <c r="B292" s="8"/>
      <c r="C292" s="1"/>
      <c r="D292" s="2"/>
      <c r="E292" s="3"/>
      <c r="F292" s="4"/>
      <c r="G292" s="2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84" customHeight="1" x14ac:dyDescent="0.35">
      <c r="A293" s="8"/>
      <c r="B293" s="8"/>
      <c r="C293" s="1"/>
      <c r="D293" s="2"/>
      <c r="E293" s="3"/>
      <c r="F293" s="4"/>
      <c r="G293" s="2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84" customHeight="1" x14ac:dyDescent="0.35">
      <c r="A294" s="8"/>
      <c r="B294" s="8"/>
      <c r="C294" s="1"/>
      <c r="D294" s="2"/>
      <c r="E294" s="3"/>
      <c r="F294" s="4"/>
      <c r="G294" s="2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84" customHeight="1" x14ac:dyDescent="0.35">
      <c r="A295" s="8"/>
      <c r="B295" s="8"/>
      <c r="C295" s="1"/>
      <c r="D295" s="2"/>
      <c r="E295" s="3"/>
      <c r="F295" s="4"/>
      <c r="G295" s="2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84" customHeight="1" x14ac:dyDescent="0.35">
      <c r="A296" s="8"/>
      <c r="B296" s="8"/>
      <c r="C296" s="1"/>
      <c r="D296" s="2"/>
      <c r="E296" s="3"/>
      <c r="F296" s="4"/>
      <c r="G296" s="2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84" customHeight="1" x14ac:dyDescent="0.35">
      <c r="A297" s="8"/>
      <c r="B297" s="8"/>
      <c r="C297" s="1"/>
      <c r="D297" s="2"/>
      <c r="E297" s="3"/>
      <c r="F297" s="4"/>
      <c r="G297" s="2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84" customHeight="1" x14ac:dyDescent="0.35">
      <c r="A298" s="8"/>
      <c r="B298" s="8"/>
      <c r="C298" s="1"/>
      <c r="D298" s="2"/>
      <c r="E298" s="3"/>
      <c r="F298" s="4"/>
      <c r="G298" s="2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84" customHeight="1" x14ac:dyDescent="0.35">
      <c r="A299" s="8"/>
      <c r="B299" s="8"/>
      <c r="C299" s="1"/>
      <c r="D299" s="2"/>
      <c r="E299" s="3"/>
      <c r="F299" s="4"/>
      <c r="G299" s="2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84" customHeight="1" x14ac:dyDescent="0.35">
      <c r="A300" s="8"/>
      <c r="B300" s="8"/>
      <c r="C300" s="1"/>
      <c r="D300" s="2"/>
      <c r="E300" s="3"/>
      <c r="F300" s="4"/>
      <c r="G300" s="2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84" customHeight="1" x14ac:dyDescent="0.35">
      <c r="A301" s="8"/>
      <c r="B301" s="8"/>
      <c r="C301" s="1"/>
      <c r="D301" s="2"/>
      <c r="E301" s="3"/>
      <c r="F301" s="4"/>
      <c r="G301" s="2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84" customHeight="1" x14ac:dyDescent="0.35">
      <c r="A302" s="8"/>
      <c r="B302" s="8"/>
      <c r="C302" s="1"/>
      <c r="D302" s="2"/>
      <c r="E302" s="3"/>
      <c r="F302" s="4"/>
      <c r="G302" s="2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84" customHeight="1" x14ac:dyDescent="0.35">
      <c r="A303" s="8"/>
      <c r="B303" s="8"/>
      <c r="C303" s="1"/>
      <c r="D303" s="2"/>
      <c r="E303" s="3"/>
      <c r="F303" s="4"/>
      <c r="G303" s="2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84" customHeight="1" x14ac:dyDescent="0.35">
      <c r="A304" s="8"/>
      <c r="B304" s="8"/>
      <c r="C304" s="1"/>
      <c r="D304" s="2"/>
      <c r="E304" s="3"/>
      <c r="F304" s="4"/>
      <c r="G304" s="2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84" customHeight="1" x14ac:dyDescent="0.35">
      <c r="A305" s="8"/>
      <c r="B305" s="8"/>
      <c r="C305" s="1"/>
      <c r="D305" s="2"/>
      <c r="E305" s="3"/>
      <c r="F305" s="4"/>
      <c r="G305" s="2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84" customHeight="1" x14ac:dyDescent="0.35">
      <c r="A306" s="8"/>
      <c r="B306" s="8"/>
      <c r="C306" s="1"/>
      <c r="D306" s="2"/>
      <c r="E306" s="3"/>
      <c r="F306" s="4"/>
      <c r="G306" s="2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84" customHeight="1" x14ac:dyDescent="0.35">
      <c r="A307" s="8"/>
      <c r="B307" s="8"/>
      <c r="C307" s="1"/>
      <c r="D307" s="2"/>
      <c r="E307" s="3"/>
      <c r="F307" s="4"/>
      <c r="G307" s="2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84" customHeight="1" x14ac:dyDescent="0.35">
      <c r="A308" s="8"/>
      <c r="B308" s="8"/>
      <c r="C308" s="1"/>
      <c r="D308" s="2"/>
      <c r="E308" s="3"/>
      <c r="F308" s="4"/>
      <c r="G308" s="2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84" customHeight="1" x14ac:dyDescent="0.35">
      <c r="A309" s="8"/>
      <c r="B309" s="8"/>
      <c r="C309" s="1"/>
      <c r="D309" s="2"/>
      <c r="E309" s="3"/>
      <c r="F309" s="4"/>
      <c r="G309" s="2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84" customHeight="1" x14ac:dyDescent="0.35">
      <c r="A310" s="8"/>
      <c r="B310" s="8"/>
      <c r="C310" s="1"/>
      <c r="D310" s="2"/>
      <c r="E310" s="3"/>
      <c r="F310" s="4"/>
      <c r="G310" s="2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84" customHeight="1" x14ac:dyDescent="0.35">
      <c r="A311" s="8"/>
      <c r="B311" s="8"/>
      <c r="C311" s="1"/>
      <c r="D311" s="2"/>
      <c r="E311" s="3"/>
      <c r="F311" s="4"/>
      <c r="G311" s="2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84" customHeight="1" x14ac:dyDescent="0.35">
      <c r="A312" s="8"/>
      <c r="B312" s="8"/>
      <c r="C312" s="1"/>
      <c r="D312" s="2"/>
      <c r="E312" s="3"/>
      <c r="F312" s="4"/>
      <c r="G312" s="2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84" customHeight="1" x14ac:dyDescent="0.35">
      <c r="A313" s="8"/>
      <c r="B313" s="8"/>
      <c r="C313" s="1"/>
      <c r="D313" s="2"/>
      <c r="E313" s="3"/>
      <c r="F313" s="4"/>
      <c r="G313" s="2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84" customHeight="1" x14ac:dyDescent="0.35">
      <c r="A314" s="8"/>
      <c r="B314" s="8"/>
      <c r="C314" s="1"/>
      <c r="D314" s="2"/>
      <c r="E314" s="3"/>
      <c r="F314" s="4"/>
      <c r="G314" s="2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84" customHeight="1" x14ac:dyDescent="0.35">
      <c r="A315" s="8"/>
      <c r="B315" s="8"/>
      <c r="C315" s="1"/>
      <c r="D315" s="2"/>
      <c r="E315" s="3"/>
      <c r="F315" s="4"/>
      <c r="G315" s="2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84" customHeight="1" x14ac:dyDescent="0.35">
      <c r="A316" s="8"/>
      <c r="B316" s="8"/>
      <c r="C316" s="1"/>
      <c r="D316" s="2"/>
      <c r="E316" s="3"/>
      <c r="F316" s="4"/>
      <c r="G316" s="2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84" customHeight="1" x14ac:dyDescent="0.35">
      <c r="A317" s="8"/>
      <c r="B317" s="8"/>
      <c r="C317" s="1"/>
      <c r="D317" s="2"/>
      <c r="E317" s="3"/>
      <c r="F317" s="4"/>
      <c r="G317" s="2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84" customHeight="1" x14ac:dyDescent="0.35">
      <c r="A318" s="8"/>
      <c r="B318" s="8"/>
      <c r="C318" s="1"/>
      <c r="D318" s="2"/>
      <c r="E318" s="3"/>
      <c r="F318" s="4"/>
      <c r="G318" s="2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84" customHeight="1" x14ac:dyDescent="0.35">
      <c r="A319" s="8"/>
      <c r="B319" s="8"/>
      <c r="C319" s="1"/>
      <c r="D319" s="2"/>
      <c r="E319" s="3"/>
      <c r="F319" s="4"/>
      <c r="G319" s="2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84" customHeight="1" x14ac:dyDescent="0.35">
      <c r="A320" s="8"/>
      <c r="B320" s="8"/>
      <c r="C320" s="1"/>
      <c r="D320" s="2"/>
      <c r="E320" s="3"/>
      <c r="F320" s="4"/>
      <c r="G320" s="2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84" customHeight="1" x14ac:dyDescent="0.35">
      <c r="A321" s="8"/>
      <c r="B321" s="8"/>
      <c r="C321" s="1"/>
      <c r="D321" s="2"/>
      <c r="E321" s="3"/>
      <c r="F321" s="4"/>
      <c r="G321" s="2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84" customHeight="1" x14ac:dyDescent="0.35">
      <c r="A322" s="8"/>
      <c r="B322" s="8"/>
      <c r="C322" s="1"/>
      <c r="D322" s="2"/>
      <c r="E322" s="3"/>
      <c r="F322" s="4"/>
      <c r="G322" s="2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84" customHeight="1" x14ac:dyDescent="0.35">
      <c r="A323" s="8"/>
      <c r="B323" s="8"/>
      <c r="C323" s="1"/>
      <c r="D323" s="2"/>
      <c r="E323" s="3"/>
      <c r="F323" s="4"/>
      <c r="G323" s="2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84" customHeight="1" x14ac:dyDescent="0.35">
      <c r="A324" s="8"/>
      <c r="B324" s="8"/>
      <c r="C324" s="1"/>
      <c r="D324" s="2"/>
      <c r="E324" s="3"/>
      <c r="F324" s="4"/>
      <c r="G324" s="2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84" customHeight="1" x14ac:dyDescent="0.35">
      <c r="A325" s="8"/>
      <c r="B325" s="8"/>
      <c r="C325" s="1"/>
      <c r="D325" s="2"/>
      <c r="E325" s="3"/>
      <c r="F325" s="4"/>
      <c r="G325" s="2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84" customHeight="1" x14ac:dyDescent="0.35">
      <c r="A326" s="8"/>
      <c r="B326" s="8"/>
      <c r="C326" s="1"/>
      <c r="D326" s="2"/>
      <c r="E326" s="3"/>
      <c r="F326" s="4"/>
      <c r="G326" s="2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84" customHeight="1" x14ac:dyDescent="0.35">
      <c r="A327" s="8"/>
      <c r="B327" s="8"/>
      <c r="C327" s="1"/>
      <c r="D327" s="2"/>
      <c r="E327" s="3"/>
      <c r="F327" s="4"/>
      <c r="G327" s="2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84" customHeight="1" x14ac:dyDescent="0.35">
      <c r="A328" s="8"/>
      <c r="B328" s="8"/>
      <c r="C328" s="1"/>
      <c r="D328" s="2"/>
      <c r="E328" s="3"/>
      <c r="F328" s="4"/>
      <c r="G328" s="2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84" customHeight="1" x14ac:dyDescent="0.35">
      <c r="A329" s="8"/>
      <c r="B329" s="8"/>
      <c r="C329" s="1"/>
      <c r="D329" s="2"/>
      <c r="E329" s="3"/>
      <c r="F329" s="4"/>
      <c r="G329" s="2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84" customHeight="1" x14ac:dyDescent="0.35">
      <c r="A330" s="8"/>
      <c r="B330" s="8"/>
      <c r="C330" s="1"/>
      <c r="D330" s="2"/>
      <c r="E330" s="3"/>
      <c r="F330" s="4"/>
      <c r="G330" s="2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84" customHeight="1" x14ac:dyDescent="0.35">
      <c r="A331" s="8"/>
      <c r="B331" s="8"/>
      <c r="C331" s="1"/>
      <c r="D331" s="2"/>
      <c r="E331" s="3"/>
      <c r="F331" s="4"/>
      <c r="G331" s="2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84" customHeight="1" x14ac:dyDescent="0.35">
      <c r="A332" s="8"/>
      <c r="B332" s="8"/>
      <c r="C332" s="1"/>
      <c r="D332" s="2"/>
      <c r="E332" s="3"/>
      <c r="F332" s="4"/>
      <c r="G332" s="2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84" customHeight="1" x14ac:dyDescent="0.35">
      <c r="A333" s="8"/>
      <c r="B333" s="8"/>
      <c r="C333" s="1"/>
      <c r="D333" s="2"/>
      <c r="E333" s="3"/>
      <c r="F333" s="4"/>
      <c r="G333" s="2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84" customHeight="1" x14ac:dyDescent="0.35">
      <c r="A334" s="8"/>
      <c r="B334" s="8"/>
      <c r="C334" s="1"/>
      <c r="D334" s="2"/>
      <c r="E334" s="3"/>
      <c r="F334" s="4"/>
      <c r="G334" s="2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84" customHeight="1" x14ac:dyDescent="0.35">
      <c r="A335" s="8"/>
      <c r="B335" s="8"/>
      <c r="C335" s="1"/>
      <c r="D335" s="2"/>
      <c r="E335" s="3"/>
      <c r="F335" s="4"/>
      <c r="G335" s="2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84" customHeight="1" x14ac:dyDescent="0.35">
      <c r="A336" s="8"/>
      <c r="B336" s="8"/>
      <c r="C336" s="1"/>
      <c r="D336" s="2"/>
      <c r="E336" s="3"/>
      <c r="F336" s="4"/>
      <c r="G336" s="2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84" customHeight="1" x14ac:dyDescent="0.35">
      <c r="A337" s="8"/>
      <c r="B337" s="8"/>
      <c r="C337" s="1"/>
      <c r="D337" s="2"/>
      <c r="E337" s="3"/>
      <c r="F337" s="4"/>
      <c r="G337" s="2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84" customHeight="1" x14ac:dyDescent="0.35">
      <c r="A338" s="8"/>
      <c r="B338" s="8"/>
      <c r="C338" s="1"/>
      <c r="D338" s="2"/>
      <c r="E338" s="3"/>
      <c r="F338" s="4"/>
      <c r="G338" s="2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84" customHeight="1" x14ac:dyDescent="0.35">
      <c r="A339" s="8"/>
      <c r="B339" s="8"/>
      <c r="C339" s="1"/>
      <c r="D339" s="2"/>
      <c r="E339" s="3"/>
      <c r="F339" s="4"/>
      <c r="G339" s="2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84" customHeight="1" x14ac:dyDescent="0.35">
      <c r="A340" s="8"/>
      <c r="B340" s="8"/>
      <c r="C340" s="1"/>
      <c r="D340" s="2"/>
      <c r="E340" s="3"/>
      <c r="F340" s="4"/>
      <c r="G340" s="2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84" customHeight="1" x14ac:dyDescent="0.35">
      <c r="A341" s="8"/>
      <c r="B341" s="8"/>
      <c r="C341" s="1"/>
      <c r="D341" s="2"/>
      <c r="E341" s="3"/>
      <c r="F341" s="4"/>
      <c r="G341" s="2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84" customHeight="1" x14ac:dyDescent="0.35">
      <c r="A342" s="8"/>
      <c r="B342" s="8"/>
      <c r="C342" s="1"/>
      <c r="D342" s="2"/>
      <c r="E342" s="3"/>
      <c r="F342" s="4"/>
      <c r="G342" s="2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84" customHeight="1" x14ac:dyDescent="0.35">
      <c r="A343" s="8"/>
      <c r="B343" s="8"/>
      <c r="C343" s="1"/>
      <c r="D343" s="2"/>
      <c r="E343" s="3"/>
      <c r="F343" s="4"/>
      <c r="G343" s="2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84" customHeight="1" x14ac:dyDescent="0.35">
      <c r="A344" s="8"/>
      <c r="B344" s="8"/>
      <c r="C344" s="1"/>
      <c r="D344" s="2"/>
      <c r="E344" s="3"/>
      <c r="F344" s="4"/>
      <c r="G344" s="2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84" customHeight="1" x14ac:dyDescent="0.35">
      <c r="A345" s="8"/>
      <c r="B345" s="8"/>
      <c r="C345" s="1"/>
      <c r="D345" s="2"/>
      <c r="E345" s="3"/>
      <c r="F345" s="4"/>
      <c r="G345" s="2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84" customHeight="1" x14ac:dyDescent="0.35">
      <c r="A346" s="8"/>
      <c r="B346" s="8"/>
      <c r="C346" s="1"/>
      <c r="D346" s="2"/>
      <c r="E346" s="3"/>
      <c r="F346" s="4"/>
      <c r="G346" s="2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84" customHeight="1" x14ac:dyDescent="0.35">
      <c r="A347" s="8"/>
      <c r="B347" s="8"/>
      <c r="C347" s="1"/>
      <c r="D347" s="2"/>
      <c r="E347" s="3"/>
      <c r="F347" s="4"/>
      <c r="G347" s="2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84" customHeight="1" x14ac:dyDescent="0.35">
      <c r="A348" s="8"/>
      <c r="B348" s="8"/>
      <c r="C348" s="1"/>
      <c r="D348" s="2"/>
      <c r="E348" s="3"/>
      <c r="F348" s="4"/>
      <c r="G348" s="2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84" customHeight="1" x14ac:dyDescent="0.35">
      <c r="A349" s="8"/>
      <c r="B349" s="8"/>
      <c r="C349" s="1"/>
      <c r="D349" s="2"/>
      <c r="E349" s="3"/>
      <c r="F349" s="4"/>
      <c r="G349" s="2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84" customHeight="1" x14ac:dyDescent="0.35">
      <c r="A350" s="8"/>
      <c r="B350" s="8"/>
      <c r="C350" s="1"/>
      <c r="D350" s="2"/>
      <c r="E350" s="3"/>
      <c r="F350" s="4"/>
      <c r="G350" s="2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84" customHeight="1" x14ac:dyDescent="0.35">
      <c r="A351" s="8"/>
      <c r="B351" s="8"/>
      <c r="C351" s="1"/>
      <c r="D351" s="2"/>
      <c r="E351" s="3"/>
      <c r="F351" s="4"/>
      <c r="G351" s="2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84" customHeight="1" x14ac:dyDescent="0.35">
      <c r="A352" s="8"/>
      <c r="B352" s="8"/>
      <c r="C352" s="1"/>
      <c r="D352" s="2"/>
      <c r="E352" s="3"/>
      <c r="F352" s="4"/>
      <c r="G352" s="2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84" customHeight="1" x14ac:dyDescent="0.35">
      <c r="A353" s="8"/>
      <c r="B353" s="8"/>
      <c r="C353" s="1"/>
      <c r="D353" s="2"/>
      <c r="E353" s="3"/>
      <c r="F353" s="4"/>
      <c r="G353" s="2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84" customHeight="1" x14ac:dyDescent="0.35">
      <c r="A354" s="8"/>
      <c r="B354" s="8"/>
      <c r="C354" s="1"/>
      <c r="D354" s="2"/>
      <c r="E354" s="3"/>
      <c r="F354" s="4"/>
      <c r="G354" s="2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84" customHeight="1" x14ac:dyDescent="0.35">
      <c r="A355" s="8"/>
      <c r="B355" s="8"/>
      <c r="C355" s="1"/>
      <c r="D355" s="2"/>
      <c r="E355" s="3"/>
      <c r="F355" s="4"/>
      <c r="G355" s="2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84" customHeight="1" x14ac:dyDescent="0.35">
      <c r="A356" s="8"/>
      <c r="B356" s="8"/>
      <c r="C356" s="1"/>
      <c r="D356" s="2"/>
      <c r="E356" s="3"/>
      <c r="F356" s="4"/>
      <c r="G356" s="2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84" customHeight="1" x14ac:dyDescent="0.35">
      <c r="A357" s="8"/>
      <c r="B357" s="8"/>
      <c r="C357" s="1"/>
      <c r="D357" s="2"/>
      <c r="E357" s="3"/>
      <c r="F357" s="4"/>
      <c r="G357" s="2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84" customHeight="1" x14ac:dyDescent="0.35">
      <c r="A358" s="8"/>
      <c r="B358" s="8"/>
      <c r="C358" s="1"/>
      <c r="D358" s="2"/>
      <c r="E358" s="3"/>
      <c r="F358" s="4"/>
      <c r="G358" s="2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84" customHeight="1" x14ac:dyDescent="0.35">
      <c r="A359" s="8"/>
      <c r="B359" s="8"/>
      <c r="C359" s="1"/>
      <c r="D359" s="2"/>
      <c r="E359" s="3"/>
      <c r="F359" s="4"/>
      <c r="G359" s="2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84" customHeight="1" x14ac:dyDescent="0.35">
      <c r="A360" s="8"/>
      <c r="B360" s="8"/>
      <c r="C360" s="1"/>
      <c r="D360" s="2"/>
      <c r="E360" s="3"/>
      <c r="F360" s="4"/>
      <c r="G360" s="2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84" customHeight="1" x14ac:dyDescent="0.35">
      <c r="A361" s="8"/>
      <c r="B361" s="8"/>
      <c r="C361" s="1"/>
      <c r="D361" s="2"/>
      <c r="E361" s="3"/>
      <c r="F361" s="4"/>
      <c r="G361" s="2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84" customHeight="1" x14ac:dyDescent="0.35">
      <c r="A362" s="8"/>
      <c r="B362" s="8"/>
      <c r="C362" s="1"/>
      <c r="D362" s="2"/>
      <c r="E362" s="3"/>
      <c r="F362" s="4"/>
      <c r="G362" s="2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84" customHeight="1" x14ac:dyDescent="0.35">
      <c r="A363" s="8"/>
      <c r="B363" s="8"/>
      <c r="C363" s="1"/>
      <c r="D363" s="2"/>
      <c r="E363" s="3"/>
      <c r="F363" s="4"/>
      <c r="G363" s="2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84" customHeight="1" x14ac:dyDescent="0.35">
      <c r="A364" s="8"/>
      <c r="B364" s="8"/>
      <c r="C364" s="1"/>
      <c r="D364" s="2"/>
      <c r="E364" s="3"/>
      <c r="F364" s="4"/>
      <c r="G364" s="2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84" customHeight="1" x14ac:dyDescent="0.35">
      <c r="A365" s="8"/>
      <c r="B365" s="8"/>
      <c r="C365" s="1"/>
      <c r="D365" s="2"/>
      <c r="E365" s="3"/>
      <c r="F365" s="4"/>
      <c r="G365" s="2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84" customHeight="1" x14ac:dyDescent="0.35">
      <c r="A366" s="8"/>
      <c r="B366" s="8"/>
      <c r="C366" s="1"/>
      <c r="D366" s="2"/>
      <c r="E366" s="3"/>
      <c r="F366" s="4"/>
      <c r="G366" s="2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84" customHeight="1" x14ac:dyDescent="0.35">
      <c r="A367" s="8"/>
      <c r="B367" s="8"/>
      <c r="C367" s="1"/>
      <c r="D367" s="2"/>
      <c r="E367" s="3"/>
      <c r="F367" s="4"/>
      <c r="G367" s="2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84" customHeight="1" x14ac:dyDescent="0.35">
      <c r="A368" s="8"/>
      <c r="B368" s="8"/>
      <c r="C368" s="1"/>
      <c r="D368" s="2"/>
      <c r="E368" s="3"/>
      <c r="F368" s="4"/>
      <c r="G368" s="2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84" customHeight="1" x14ac:dyDescent="0.35">
      <c r="A369" s="8"/>
      <c r="B369" s="8"/>
      <c r="C369" s="1"/>
      <c r="D369" s="2"/>
      <c r="E369" s="3"/>
      <c r="F369" s="4"/>
      <c r="G369" s="2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84" customHeight="1" x14ac:dyDescent="0.35">
      <c r="A370" s="8"/>
      <c r="B370" s="8"/>
      <c r="C370" s="1"/>
      <c r="D370" s="2"/>
      <c r="E370" s="3"/>
      <c r="F370" s="4"/>
      <c r="G370" s="2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84" customHeight="1" x14ac:dyDescent="0.35">
      <c r="A371" s="8"/>
      <c r="B371" s="8"/>
      <c r="C371" s="1"/>
      <c r="D371" s="2"/>
      <c r="E371" s="3"/>
      <c r="F371" s="4"/>
      <c r="G371" s="2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84" customHeight="1" x14ac:dyDescent="0.35">
      <c r="A372" s="8"/>
      <c r="B372" s="8"/>
      <c r="C372" s="1"/>
      <c r="D372" s="2"/>
      <c r="E372" s="3"/>
      <c r="F372" s="4"/>
      <c r="G372" s="2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84" customHeight="1" x14ac:dyDescent="0.35">
      <c r="A373" s="8"/>
      <c r="B373" s="8"/>
      <c r="C373" s="1"/>
      <c r="D373" s="2"/>
      <c r="E373" s="3"/>
      <c r="F373" s="4"/>
      <c r="G373" s="2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84" customHeight="1" x14ac:dyDescent="0.35">
      <c r="A374" s="8"/>
      <c r="B374" s="8"/>
      <c r="C374" s="1"/>
      <c r="D374" s="2"/>
      <c r="E374" s="3"/>
      <c r="F374" s="4"/>
      <c r="G374" s="2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84" customHeight="1" x14ac:dyDescent="0.35">
      <c r="A375" s="8"/>
      <c r="B375" s="8"/>
      <c r="C375" s="1"/>
      <c r="D375" s="2"/>
      <c r="E375" s="3"/>
      <c r="F375" s="4"/>
      <c r="G375" s="2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84" customHeight="1" x14ac:dyDescent="0.35">
      <c r="A376" s="8"/>
      <c r="B376" s="8"/>
      <c r="C376" s="1"/>
      <c r="D376" s="2"/>
      <c r="E376" s="3"/>
      <c r="F376" s="4"/>
      <c r="G376" s="2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84" customHeight="1" x14ac:dyDescent="0.35">
      <c r="A377" s="8"/>
      <c r="B377" s="8"/>
      <c r="C377" s="1"/>
      <c r="D377" s="2"/>
      <c r="E377" s="3"/>
      <c r="F377" s="4"/>
      <c r="G377" s="2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84" customHeight="1" x14ac:dyDescent="0.35">
      <c r="A378" s="8"/>
      <c r="B378" s="8"/>
      <c r="C378" s="1"/>
      <c r="D378" s="2"/>
      <c r="E378" s="3"/>
      <c r="F378" s="4"/>
      <c r="G378" s="2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84" customHeight="1" x14ac:dyDescent="0.35">
      <c r="A379" s="8"/>
      <c r="B379" s="8"/>
      <c r="C379" s="1"/>
      <c r="D379" s="2"/>
      <c r="E379" s="3"/>
      <c r="F379" s="4"/>
      <c r="G379" s="2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84" customHeight="1" x14ac:dyDescent="0.35">
      <c r="A380" s="8"/>
      <c r="B380" s="8"/>
      <c r="C380" s="1"/>
      <c r="D380" s="2"/>
      <c r="E380" s="3"/>
      <c r="F380" s="4"/>
      <c r="G380" s="2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84" customHeight="1" x14ac:dyDescent="0.35">
      <c r="A381" s="8"/>
      <c r="B381" s="8"/>
      <c r="C381" s="1"/>
      <c r="D381" s="2"/>
      <c r="E381" s="3"/>
      <c r="F381" s="4"/>
      <c r="G381" s="2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84" customHeight="1" x14ac:dyDescent="0.35">
      <c r="A382" s="8"/>
      <c r="B382" s="8"/>
      <c r="C382" s="1"/>
      <c r="D382" s="2"/>
      <c r="E382" s="3"/>
      <c r="F382" s="4"/>
      <c r="G382" s="2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84" customHeight="1" x14ac:dyDescent="0.35">
      <c r="A383" s="8"/>
      <c r="B383" s="8"/>
      <c r="C383" s="1"/>
      <c r="D383" s="2"/>
      <c r="E383" s="3"/>
      <c r="F383" s="4"/>
      <c r="G383" s="2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84" customHeight="1" x14ac:dyDescent="0.35">
      <c r="A384" s="8"/>
      <c r="B384" s="8"/>
      <c r="C384" s="1"/>
      <c r="D384" s="2"/>
      <c r="E384" s="3"/>
      <c r="F384" s="4"/>
      <c r="G384" s="2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84" customHeight="1" x14ac:dyDescent="0.35">
      <c r="A385" s="8"/>
      <c r="B385" s="8"/>
      <c r="C385" s="1"/>
      <c r="D385" s="2"/>
      <c r="E385" s="3"/>
      <c r="F385" s="4"/>
      <c r="G385" s="2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84" customHeight="1" x14ac:dyDescent="0.35">
      <c r="A386" s="8"/>
      <c r="B386" s="8"/>
      <c r="C386" s="1"/>
      <c r="D386" s="2"/>
      <c r="E386" s="3"/>
      <c r="F386" s="4"/>
      <c r="G386" s="2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84" customHeight="1" x14ac:dyDescent="0.35">
      <c r="A387" s="8"/>
      <c r="B387" s="8"/>
      <c r="C387" s="1"/>
      <c r="D387" s="2"/>
      <c r="E387" s="3"/>
      <c r="F387" s="4"/>
      <c r="G387" s="2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84" customHeight="1" x14ac:dyDescent="0.35">
      <c r="A388" s="8"/>
      <c r="B388" s="8"/>
      <c r="C388" s="1"/>
      <c r="D388" s="2"/>
      <c r="E388" s="3"/>
      <c r="F388" s="4"/>
      <c r="G388" s="2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84" customHeight="1" x14ac:dyDescent="0.35">
      <c r="A389" s="8"/>
      <c r="B389" s="8"/>
      <c r="C389" s="1"/>
      <c r="D389" s="2"/>
      <c r="E389" s="3"/>
      <c r="F389" s="4"/>
      <c r="G389" s="2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84" customHeight="1" x14ac:dyDescent="0.35">
      <c r="A390" s="8"/>
      <c r="B390" s="8"/>
      <c r="C390" s="1"/>
      <c r="D390" s="2"/>
      <c r="E390" s="3"/>
      <c r="F390" s="4"/>
      <c r="G390" s="2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84" customHeight="1" x14ac:dyDescent="0.35">
      <c r="A391" s="8"/>
      <c r="B391" s="8"/>
      <c r="C391" s="1"/>
      <c r="D391" s="2"/>
      <c r="E391" s="3"/>
      <c r="F391" s="4"/>
      <c r="G391" s="2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84" customHeight="1" x14ac:dyDescent="0.35">
      <c r="A392" s="8"/>
      <c r="B392" s="8"/>
      <c r="C392" s="1"/>
      <c r="D392" s="2"/>
      <c r="E392" s="3"/>
      <c r="F392" s="4"/>
      <c r="G392" s="2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84" customHeight="1" x14ac:dyDescent="0.35">
      <c r="A393" s="8"/>
      <c r="B393" s="8"/>
      <c r="C393" s="1"/>
      <c r="D393" s="2"/>
      <c r="E393" s="3"/>
      <c r="F393" s="4"/>
      <c r="G393" s="2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84" customHeight="1" x14ac:dyDescent="0.35">
      <c r="A394" s="8"/>
      <c r="B394" s="8"/>
      <c r="C394" s="1"/>
      <c r="D394" s="2"/>
      <c r="E394" s="3"/>
      <c r="F394" s="4"/>
      <c r="G394" s="2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84" customHeight="1" x14ac:dyDescent="0.35">
      <c r="A395" s="8"/>
      <c r="B395" s="8"/>
      <c r="C395" s="1"/>
      <c r="D395" s="2"/>
      <c r="E395" s="3"/>
      <c r="F395" s="4"/>
      <c r="G395" s="2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84" customHeight="1" x14ac:dyDescent="0.35">
      <c r="A396" s="8"/>
      <c r="B396" s="8"/>
      <c r="C396" s="1"/>
      <c r="D396" s="2"/>
      <c r="E396" s="3"/>
      <c r="F396" s="4"/>
      <c r="G396" s="2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84" customHeight="1" x14ac:dyDescent="0.35">
      <c r="A397" s="8"/>
      <c r="B397" s="8"/>
      <c r="C397" s="1"/>
      <c r="D397" s="2"/>
      <c r="E397" s="3"/>
      <c r="F397" s="4"/>
      <c r="G397" s="2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84" customHeight="1" x14ac:dyDescent="0.35">
      <c r="A398" s="8"/>
      <c r="B398" s="8"/>
      <c r="C398" s="1"/>
      <c r="D398" s="2"/>
      <c r="E398" s="3"/>
      <c r="F398" s="4"/>
      <c r="G398" s="2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84" customHeight="1" x14ac:dyDescent="0.35">
      <c r="A399" s="8"/>
      <c r="B399" s="8"/>
      <c r="C399" s="1"/>
      <c r="D399" s="2"/>
      <c r="E399" s="3"/>
      <c r="F399" s="4"/>
      <c r="G399" s="2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84" customHeight="1" x14ac:dyDescent="0.35">
      <c r="A400" s="8"/>
      <c r="B400" s="8"/>
      <c r="C400" s="1"/>
      <c r="D400" s="2"/>
      <c r="E400" s="3"/>
      <c r="F400" s="4"/>
      <c r="G400" s="2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84" customHeight="1" x14ac:dyDescent="0.35">
      <c r="A401" s="8"/>
      <c r="B401" s="8"/>
      <c r="C401" s="1"/>
      <c r="D401" s="2"/>
      <c r="E401" s="3"/>
      <c r="F401" s="4"/>
      <c r="G401" s="2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84" customHeight="1" x14ac:dyDescent="0.35">
      <c r="A402" s="8"/>
      <c r="B402" s="8"/>
      <c r="C402" s="1"/>
      <c r="D402" s="2"/>
      <c r="E402" s="3"/>
      <c r="F402" s="4"/>
      <c r="G402" s="2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84" customHeight="1" x14ac:dyDescent="0.35">
      <c r="A403" s="8"/>
      <c r="B403" s="8"/>
      <c r="C403" s="1"/>
      <c r="D403" s="2"/>
      <c r="E403" s="3"/>
      <c r="F403" s="4"/>
      <c r="G403" s="2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84" customHeight="1" x14ac:dyDescent="0.35">
      <c r="A404" s="8"/>
      <c r="B404" s="8"/>
      <c r="C404" s="1"/>
      <c r="D404" s="2"/>
      <c r="E404" s="3"/>
      <c r="F404" s="4"/>
      <c r="G404" s="2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84" customHeight="1" x14ac:dyDescent="0.35">
      <c r="A405" s="8"/>
      <c r="B405" s="8"/>
      <c r="C405" s="1"/>
      <c r="D405" s="2"/>
      <c r="E405" s="3"/>
      <c r="F405" s="4"/>
      <c r="G405" s="2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84" customHeight="1" x14ac:dyDescent="0.35">
      <c r="A406" s="8"/>
      <c r="B406" s="8"/>
      <c r="C406" s="1"/>
      <c r="D406" s="2"/>
      <c r="E406" s="3"/>
      <c r="F406" s="4"/>
      <c r="G406" s="2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84" customHeight="1" x14ac:dyDescent="0.35">
      <c r="A407" s="8"/>
      <c r="B407" s="8"/>
      <c r="C407" s="1"/>
      <c r="D407" s="2"/>
      <c r="E407" s="3"/>
      <c r="F407" s="4"/>
      <c r="G407" s="2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84" customHeight="1" x14ac:dyDescent="0.35">
      <c r="A408" s="8"/>
      <c r="B408" s="8"/>
      <c r="C408" s="1"/>
      <c r="D408" s="2"/>
      <c r="E408" s="3"/>
      <c r="F408" s="4"/>
      <c r="G408" s="2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84" customHeight="1" x14ac:dyDescent="0.35">
      <c r="A409" s="8"/>
      <c r="B409" s="8"/>
      <c r="C409" s="1"/>
      <c r="D409" s="2"/>
      <c r="E409" s="3"/>
      <c r="F409" s="4"/>
      <c r="G409" s="2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84" customHeight="1" x14ac:dyDescent="0.35">
      <c r="A410" s="8"/>
      <c r="B410" s="8"/>
      <c r="C410" s="1"/>
      <c r="D410" s="2"/>
      <c r="E410" s="3"/>
      <c r="F410" s="4"/>
      <c r="G410" s="2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84" customHeight="1" x14ac:dyDescent="0.35">
      <c r="A411" s="8"/>
      <c r="B411" s="8"/>
      <c r="C411" s="1"/>
      <c r="D411" s="2"/>
      <c r="E411" s="3"/>
      <c r="F411" s="4"/>
      <c r="G411" s="2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84" customHeight="1" x14ac:dyDescent="0.35">
      <c r="A412" s="8"/>
      <c r="B412" s="8"/>
      <c r="C412" s="1"/>
      <c r="D412" s="2"/>
      <c r="E412" s="3"/>
      <c r="F412" s="4"/>
      <c r="G412" s="2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84" customHeight="1" x14ac:dyDescent="0.35">
      <c r="A413" s="8"/>
      <c r="B413" s="8"/>
      <c r="C413" s="1"/>
      <c r="D413" s="2"/>
      <c r="E413" s="3"/>
      <c r="F413" s="4"/>
      <c r="G413" s="2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84" customHeight="1" x14ac:dyDescent="0.35">
      <c r="A414" s="8"/>
      <c r="B414" s="8"/>
      <c r="C414" s="1"/>
      <c r="D414" s="2"/>
      <c r="E414" s="3"/>
      <c r="F414" s="4"/>
      <c r="G414" s="2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84" customHeight="1" x14ac:dyDescent="0.35">
      <c r="A415" s="8"/>
      <c r="B415" s="8"/>
      <c r="C415" s="1"/>
      <c r="D415" s="2"/>
      <c r="E415" s="3"/>
      <c r="F415" s="4"/>
      <c r="G415" s="2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84" customHeight="1" x14ac:dyDescent="0.35">
      <c r="A416" s="8"/>
      <c r="B416" s="8"/>
      <c r="C416" s="1"/>
      <c r="D416" s="2"/>
      <c r="E416" s="3"/>
      <c r="F416" s="4"/>
      <c r="G416" s="2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84" customHeight="1" x14ac:dyDescent="0.35">
      <c r="A417" s="8"/>
      <c r="B417" s="8"/>
      <c r="C417" s="1"/>
      <c r="D417" s="2"/>
      <c r="E417" s="3"/>
      <c r="F417" s="4"/>
      <c r="G417" s="2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84" customHeight="1" x14ac:dyDescent="0.35">
      <c r="A418" s="8"/>
      <c r="B418" s="8"/>
      <c r="C418" s="1"/>
      <c r="D418" s="2"/>
      <c r="E418" s="3"/>
      <c r="F418" s="4"/>
      <c r="G418" s="2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84" customHeight="1" x14ac:dyDescent="0.35">
      <c r="A419" s="8"/>
      <c r="B419" s="8"/>
      <c r="C419" s="1"/>
      <c r="D419" s="2"/>
      <c r="E419" s="3"/>
      <c r="F419" s="4"/>
      <c r="G419" s="2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84" customHeight="1" x14ac:dyDescent="0.35">
      <c r="A420" s="8"/>
      <c r="B420" s="8"/>
      <c r="C420" s="1"/>
      <c r="D420" s="2"/>
      <c r="E420" s="3"/>
      <c r="F420" s="4"/>
      <c r="G420" s="2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84" customHeight="1" x14ac:dyDescent="0.35">
      <c r="A421" s="8"/>
      <c r="B421" s="8"/>
      <c r="C421" s="1"/>
      <c r="D421" s="2"/>
      <c r="E421" s="3"/>
      <c r="F421" s="4"/>
      <c r="G421" s="2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84" customHeight="1" x14ac:dyDescent="0.35">
      <c r="A422" s="8"/>
      <c r="B422" s="8"/>
      <c r="C422" s="1"/>
      <c r="D422" s="2"/>
      <c r="E422" s="3"/>
      <c r="F422" s="4"/>
      <c r="G422" s="2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84" customHeight="1" x14ac:dyDescent="0.35">
      <c r="A423" s="8"/>
      <c r="B423" s="8"/>
      <c r="C423" s="1"/>
      <c r="D423" s="2"/>
      <c r="E423" s="3"/>
      <c r="F423" s="4"/>
      <c r="G423" s="2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84" customHeight="1" x14ac:dyDescent="0.35">
      <c r="A424" s="8"/>
      <c r="B424" s="8"/>
      <c r="C424" s="1"/>
      <c r="D424" s="2"/>
      <c r="E424" s="3"/>
      <c r="F424" s="4"/>
      <c r="G424" s="2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84" customHeight="1" x14ac:dyDescent="0.35">
      <c r="A425" s="8"/>
      <c r="B425" s="8"/>
      <c r="C425" s="1"/>
      <c r="D425" s="2"/>
      <c r="E425" s="3"/>
      <c r="F425" s="4"/>
      <c r="G425" s="2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84" customHeight="1" x14ac:dyDescent="0.35">
      <c r="A426" s="8"/>
      <c r="B426" s="8"/>
      <c r="C426" s="1"/>
      <c r="D426" s="2"/>
      <c r="E426" s="3"/>
      <c r="F426" s="4"/>
      <c r="G426" s="2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84" customHeight="1" x14ac:dyDescent="0.35">
      <c r="A427" s="8"/>
      <c r="B427" s="8"/>
      <c r="C427" s="1"/>
      <c r="D427" s="2"/>
      <c r="E427" s="3"/>
      <c r="F427" s="4"/>
      <c r="G427" s="2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84" customHeight="1" x14ac:dyDescent="0.35">
      <c r="A428" s="8"/>
      <c r="B428" s="8"/>
      <c r="C428" s="1"/>
      <c r="D428" s="2"/>
      <c r="E428" s="3"/>
      <c r="F428" s="4"/>
      <c r="G428" s="2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84" customHeight="1" x14ac:dyDescent="0.35">
      <c r="A429" s="8"/>
      <c r="B429" s="8"/>
      <c r="C429" s="1"/>
      <c r="D429" s="2"/>
      <c r="E429" s="3"/>
      <c r="F429" s="4"/>
      <c r="G429" s="2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84" customHeight="1" x14ac:dyDescent="0.35">
      <c r="A430" s="8"/>
      <c r="B430" s="8"/>
      <c r="C430" s="1"/>
      <c r="D430" s="2"/>
      <c r="E430" s="3"/>
      <c r="F430" s="4"/>
      <c r="G430" s="2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84" customHeight="1" x14ac:dyDescent="0.35">
      <c r="A431" s="8"/>
      <c r="B431" s="8"/>
      <c r="C431" s="1"/>
      <c r="D431" s="2"/>
      <c r="E431" s="3"/>
      <c r="F431" s="4"/>
      <c r="G431" s="2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84" customHeight="1" x14ac:dyDescent="0.35">
      <c r="A432" s="8"/>
      <c r="B432" s="8"/>
      <c r="C432" s="1"/>
      <c r="D432" s="2"/>
      <c r="E432" s="3"/>
      <c r="F432" s="4"/>
      <c r="G432" s="2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84" customHeight="1" x14ac:dyDescent="0.35">
      <c r="A433" s="8"/>
      <c r="B433" s="8"/>
      <c r="C433" s="1"/>
      <c r="D433" s="2"/>
      <c r="E433" s="3"/>
      <c r="F433" s="4"/>
      <c r="G433" s="2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84" customHeight="1" x14ac:dyDescent="0.35">
      <c r="A434" s="8"/>
      <c r="B434" s="8"/>
      <c r="C434" s="1"/>
      <c r="D434" s="2"/>
      <c r="E434" s="3"/>
      <c r="F434" s="4"/>
      <c r="G434" s="2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84" customHeight="1" x14ac:dyDescent="0.35">
      <c r="A435" s="8"/>
      <c r="B435" s="8"/>
      <c r="C435" s="1"/>
      <c r="D435" s="2"/>
      <c r="E435" s="3"/>
      <c r="F435" s="4"/>
      <c r="G435" s="2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84" customHeight="1" x14ac:dyDescent="0.35">
      <c r="A436" s="8"/>
      <c r="B436" s="8"/>
      <c r="C436" s="1"/>
      <c r="D436" s="2"/>
      <c r="E436" s="3"/>
      <c r="F436" s="4"/>
      <c r="G436" s="2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84" customHeight="1" x14ac:dyDescent="0.35">
      <c r="A437" s="8"/>
      <c r="B437" s="8"/>
      <c r="C437" s="1"/>
      <c r="D437" s="2"/>
      <c r="E437" s="3"/>
      <c r="F437" s="4"/>
      <c r="G437" s="2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84" customHeight="1" x14ac:dyDescent="0.35">
      <c r="A438" s="8"/>
      <c r="B438" s="8"/>
      <c r="C438" s="1"/>
      <c r="D438" s="2"/>
      <c r="E438" s="3"/>
      <c r="F438" s="4"/>
      <c r="G438" s="2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84" customHeight="1" x14ac:dyDescent="0.35">
      <c r="A439" s="8"/>
      <c r="B439" s="8"/>
      <c r="C439" s="1"/>
      <c r="D439" s="2"/>
      <c r="E439" s="3"/>
      <c r="F439" s="4"/>
      <c r="G439" s="2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84" customHeight="1" x14ac:dyDescent="0.35">
      <c r="A440" s="8"/>
      <c r="B440" s="8"/>
      <c r="C440" s="1"/>
      <c r="D440" s="2"/>
      <c r="E440" s="3"/>
      <c r="F440" s="4"/>
      <c r="G440" s="2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84" customHeight="1" x14ac:dyDescent="0.35">
      <c r="A441" s="8"/>
      <c r="B441" s="8"/>
      <c r="C441" s="1"/>
      <c r="D441" s="2"/>
      <c r="E441" s="3"/>
      <c r="F441" s="4"/>
      <c r="G441" s="2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84" customHeight="1" x14ac:dyDescent="0.35">
      <c r="A442" s="8"/>
      <c r="B442" s="8"/>
      <c r="C442" s="1"/>
      <c r="D442" s="2"/>
      <c r="E442" s="3"/>
      <c r="F442" s="4"/>
      <c r="G442" s="2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84" customHeight="1" x14ac:dyDescent="0.35">
      <c r="A443" s="8"/>
      <c r="B443" s="8"/>
      <c r="C443" s="1"/>
      <c r="D443" s="2"/>
      <c r="E443" s="3"/>
      <c r="F443" s="4"/>
      <c r="G443" s="2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84" customHeight="1" x14ac:dyDescent="0.35">
      <c r="A444" s="8"/>
      <c r="B444" s="8"/>
      <c r="C444" s="1"/>
      <c r="D444" s="2"/>
      <c r="E444" s="3"/>
      <c r="F444" s="4"/>
      <c r="G444" s="2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84" customHeight="1" x14ac:dyDescent="0.35">
      <c r="A445" s="8"/>
      <c r="B445" s="8"/>
      <c r="C445" s="1"/>
      <c r="D445" s="2"/>
      <c r="E445" s="3"/>
      <c r="F445" s="4"/>
      <c r="G445" s="2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84" customHeight="1" x14ac:dyDescent="0.35">
      <c r="A446" s="8"/>
      <c r="B446" s="8"/>
      <c r="C446" s="1"/>
      <c r="D446" s="2"/>
      <c r="E446" s="3"/>
      <c r="F446" s="4"/>
      <c r="G446" s="2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84" customHeight="1" x14ac:dyDescent="0.35">
      <c r="A447" s="8"/>
      <c r="B447" s="8"/>
      <c r="C447" s="1"/>
      <c r="D447" s="2"/>
      <c r="E447" s="3"/>
      <c r="F447" s="4"/>
      <c r="G447" s="2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84" customHeight="1" x14ac:dyDescent="0.35">
      <c r="A448" s="8"/>
      <c r="B448" s="8"/>
      <c r="C448" s="1"/>
      <c r="D448" s="2"/>
      <c r="E448" s="3"/>
      <c r="F448" s="4"/>
      <c r="G448" s="2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84" customHeight="1" x14ac:dyDescent="0.35">
      <c r="A449" s="8"/>
      <c r="B449" s="8"/>
      <c r="C449" s="1"/>
      <c r="D449" s="2"/>
      <c r="E449" s="3"/>
      <c r="F449" s="4"/>
      <c r="G449" s="2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84" customHeight="1" x14ac:dyDescent="0.35">
      <c r="A450" s="8"/>
      <c r="B450" s="8"/>
      <c r="C450" s="1"/>
      <c r="D450" s="2"/>
      <c r="E450" s="3"/>
      <c r="F450" s="4"/>
      <c r="G450" s="2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84" customHeight="1" x14ac:dyDescent="0.35">
      <c r="A451" s="8"/>
      <c r="B451" s="8"/>
      <c r="C451" s="1"/>
      <c r="D451" s="2"/>
      <c r="E451" s="3"/>
      <c r="F451" s="4"/>
      <c r="G451" s="2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84" customHeight="1" x14ac:dyDescent="0.35">
      <c r="A452" s="8"/>
      <c r="B452" s="8"/>
      <c r="C452" s="1"/>
      <c r="D452" s="2"/>
      <c r="E452" s="3"/>
      <c r="F452" s="4"/>
      <c r="G452" s="2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84" customHeight="1" x14ac:dyDescent="0.35">
      <c r="A453" s="8"/>
      <c r="B453" s="8"/>
      <c r="C453" s="1"/>
      <c r="D453" s="2"/>
      <c r="E453" s="3"/>
      <c r="F453" s="4"/>
      <c r="G453" s="2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84" customHeight="1" x14ac:dyDescent="0.35">
      <c r="A454" s="8"/>
      <c r="B454" s="8"/>
      <c r="C454" s="1"/>
      <c r="D454" s="2"/>
      <c r="E454" s="3"/>
      <c r="F454" s="4"/>
      <c r="G454" s="2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84" customHeight="1" x14ac:dyDescent="0.35">
      <c r="A455" s="8"/>
      <c r="B455" s="8"/>
      <c r="C455" s="1"/>
      <c r="D455" s="2"/>
      <c r="E455" s="3"/>
      <c r="F455" s="4"/>
      <c r="G455" s="2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84" customHeight="1" x14ac:dyDescent="0.35">
      <c r="A456" s="8"/>
      <c r="B456" s="8"/>
      <c r="C456" s="1"/>
      <c r="D456" s="2"/>
      <c r="E456" s="3"/>
      <c r="F456" s="4"/>
      <c r="G456" s="2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84" customHeight="1" x14ac:dyDescent="0.35">
      <c r="A457" s="8"/>
      <c r="B457" s="8"/>
      <c r="C457" s="1"/>
      <c r="D457" s="2"/>
      <c r="E457" s="3"/>
      <c r="F457" s="4"/>
      <c r="G457" s="2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84" customHeight="1" x14ac:dyDescent="0.35">
      <c r="A458" s="8"/>
      <c r="B458" s="8"/>
      <c r="C458" s="1"/>
      <c r="D458" s="2"/>
      <c r="E458" s="3"/>
      <c r="F458" s="4"/>
      <c r="G458" s="2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84" customHeight="1" x14ac:dyDescent="0.35">
      <c r="A459" s="8"/>
      <c r="B459" s="8"/>
      <c r="C459" s="1"/>
      <c r="D459" s="2"/>
      <c r="E459" s="3"/>
      <c r="F459" s="4"/>
      <c r="G459" s="2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84" customHeight="1" x14ac:dyDescent="0.35">
      <c r="A460" s="8"/>
      <c r="B460" s="8"/>
      <c r="C460" s="1"/>
      <c r="D460" s="2"/>
      <c r="E460" s="3"/>
      <c r="F460" s="4"/>
      <c r="G460" s="2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84" customHeight="1" x14ac:dyDescent="0.35">
      <c r="A461" s="8"/>
      <c r="B461" s="8"/>
      <c r="C461" s="1"/>
      <c r="D461" s="2"/>
      <c r="E461" s="3"/>
      <c r="F461" s="4"/>
      <c r="G461" s="2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</sheetData>
  <hyperlinks>
    <hyperlink ref="I1" location="'Daftar Tabel'!A1" display="&lt;&lt;&lt; Daftar Tabel" xr:uid="{D500D045-7CFF-445B-A023-433F64BE6D68}"/>
    <hyperlink ref="M14" r:id="rId1" xr:uid="{2D42884A-C7FB-4C75-AF4A-4E8FB0C06719}"/>
    <hyperlink ref="M15" r:id="rId2" xr:uid="{5E6A1F04-A4E5-4D13-9FCD-B72A7DEE2A2A}"/>
    <hyperlink ref="M16" r:id="rId3" xr:uid="{DD17CFB0-2297-4561-AD82-06F1060FA724}"/>
    <hyperlink ref="M22" r:id="rId4" xr:uid="{1CE203A2-52DD-42FF-8A97-A600A389C46F}"/>
    <hyperlink ref="M25" r:id="rId5" xr:uid="{A03F92A7-09D6-4B43-8B2C-25931D2ADAFF}"/>
    <hyperlink ref="M27" r:id="rId6" xr:uid="{14444EFD-85EC-42BC-A81B-9508FC33AA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0594-AD40-4500-BB6D-BDEB8808EFA2}">
  <dimension ref="A1:Z987"/>
  <sheetViews>
    <sheetView workbookViewId="0">
      <selection activeCell="C8" sqref="C8"/>
    </sheetView>
  </sheetViews>
  <sheetFormatPr defaultColWidth="14.453125" defaultRowHeight="14.5" x14ac:dyDescent="0.35"/>
  <cols>
    <col min="1" max="1" width="5.453125" customWidth="1"/>
    <col min="2" max="2" width="27.81640625" customWidth="1"/>
    <col min="3" max="3" width="25.1796875" customWidth="1"/>
    <col min="4" max="4" width="6.453125" customWidth="1"/>
    <col min="5" max="5" width="15.54296875" customWidth="1"/>
    <col min="6" max="6" width="26.54296875" customWidth="1"/>
    <col min="7" max="7" width="11.1796875" customWidth="1"/>
    <col min="8" max="8" width="21.7265625" customWidth="1"/>
    <col min="10" max="26" width="8.81640625" customWidth="1"/>
  </cols>
  <sheetData>
    <row r="1" spans="1:26" ht="14.25" customHeight="1" x14ac:dyDescent="0.35">
      <c r="A1" s="38" t="s">
        <v>0</v>
      </c>
      <c r="B1" s="38"/>
      <c r="C1" s="38"/>
      <c r="D1" s="38"/>
      <c r="E1" s="38"/>
      <c r="F1" s="39"/>
      <c r="G1" s="39"/>
      <c r="H1" s="40" t="s">
        <v>1</v>
      </c>
      <c r="I1" s="41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spans="1:26" ht="14.25" customHeight="1" x14ac:dyDescent="0.35">
      <c r="A2" s="38"/>
      <c r="B2" s="38"/>
      <c r="C2" s="38"/>
      <c r="D2" s="38"/>
      <c r="E2" s="38"/>
      <c r="F2" s="39"/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45.75" customHeight="1" x14ac:dyDescent="0.35">
      <c r="A3" s="42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2" t="s">
        <v>10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8.75" customHeight="1" x14ac:dyDescent="0.35">
      <c r="A4" s="45">
        <v>1</v>
      </c>
      <c r="B4" s="45">
        <v>2</v>
      </c>
      <c r="C4" s="45">
        <v>3</v>
      </c>
      <c r="D4" s="45">
        <v>4</v>
      </c>
      <c r="E4" s="45">
        <v>5</v>
      </c>
      <c r="F4" s="45">
        <v>6</v>
      </c>
      <c r="G4" s="45">
        <v>7</v>
      </c>
      <c r="H4" s="45">
        <v>8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78" customHeight="1" x14ac:dyDescent="0.35">
      <c r="A5" s="46">
        <v>1</v>
      </c>
      <c r="B5" s="47" t="s">
        <v>527</v>
      </c>
      <c r="C5" s="48" t="s">
        <v>528</v>
      </c>
      <c r="D5" s="46" t="s">
        <v>529</v>
      </c>
      <c r="E5" s="49">
        <v>10000000</v>
      </c>
      <c r="F5" s="47" t="s">
        <v>530</v>
      </c>
      <c r="G5" s="46"/>
      <c r="H5" s="46"/>
      <c r="I5" s="39" t="s">
        <v>531</v>
      </c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37.5" customHeight="1" x14ac:dyDescent="0.35">
      <c r="A6" s="46">
        <v>2</v>
      </c>
      <c r="B6" s="47" t="s">
        <v>532</v>
      </c>
      <c r="C6" s="48" t="s">
        <v>533</v>
      </c>
      <c r="D6" s="46">
        <v>2024</v>
      </c>
      <c r="E6" s="49">
        <v>802502250</v>
      </c>
      <c r="F6" s="47" t="s">
        <v>534</v>
      </c>
      <c r="G6" s="46"/>
      <c r="H6" s="46"/>
      <c r="I6" s="39" t="s">
        <v>531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37.5" customHeight="1" x14ac:dyDescent="0.35">
      <c r="A7" s="46">
        <v>3</v>
      </c>
      <c r="B7" s="47" t="s">
        <v>535</v>
      </c>
      <c r="C7" s="48" t="s">
        <v>536</v>
      </c>
      <c r="D7" s="46">
        <v>2024</v>
      </c>
      <c r="E7" s="49">
        <v>133000000</v>
      </c>
      <c r="F7" s="47" t="s">
        <v>537</v>
      </c>
      <c r="G7" s="46"/>
      <c r="H7" s="46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spans="1:26" ht="72.75" customHeight="1" x14ac:dyDescent="0.35">
      <c r="A8" s="46">
        <v>4</v>
      </c>
      <c r="B8" s="47" t="s">
        <v>538</v>
      </c>
      <c r="C8" s="48" t="s">
        <v>539</v>
      </c>
      <c r="D8" s="46">
        <v>2024</v>
      </c>
      <c r="E8" s="49">
        <v>133840000</v>
      </c>
      <c r="F8" s="47" t="s">
        <v>540</v>
      </c>
      <c r="G8" s="46"/>
      <c r="H8" s="46"/>
      <c r="I8" s="39" t="s">
        <v>531</v>
      </c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58.5" customHeight="1" x14ac:dyDescent="0.35">
      <c r="A9" s="46">
        <v>5</v>
      </c>
      <c r="B9" s="47" t="s">
        <v>541</v>
      </c>
      <c r="C9" s="48" t="s">
        <v>542</v>
      </c>
      <c r="D9" s="46">
        <v>2024</v>
      </c>
      <c r="E9" s="49">
        <v>434770000</v>
      </c>
      <c r="F9" s="47" t="s">
        <v>540</v>
      </c>
      <c r="G9" s="46"/>
      <c r="H9" s="46"/>
      <c r="I9" s="39" t="s">
        <v>531</v>
      </c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36" x14ac:dyDescent="0.35">
      <c r="A10" s="46">
        <v>6</v>
      </c>
      <c r="B10" s="47" t="s">
        <v>543</v>
      </c>
      <c r="C10" s="48" t="s">
        <v>544</v>
      </c>
      <c r="D10" s="46">
        <v>2024</v>
      </c>
      <c r="E10" s="49">
        <v>75000000</v>
      </c>
      <c r="F10" s="47" t="s">
        <v>545</v>
      </c>
      <c r="G10" s="46">
        <v>2</v>
      </c>
      <c r="H10" s="48"/>
      <c r="I10" s="39" t="s">
        <v>531</v>
      </c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84" x14ac:dyDescent="0.35">
      <c r="A11" s="46">
        <v>7</v>
      </c>
      <c r="B11" s="47" t="s">
        <v>546</v>
      </c>
      <c r="C11" s="48" t="s">
        <v>528</v>
      </c>
      <c r="D11" s="46">
        <v>2024</v>
      </c>
      <c r="E11" s="49">
        <v>56360000</v>
      </c>
      <c r="F11" s="47"/>
      <c r="G11" s="46">
        <v>1</v>
      </c>
      <c r="H11" s="4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96" x14ac:dyDescent="0.35">
      <c r="A12" s="46">
        <v>8</v>
      </c>
      <c r="B12" s="47" t="s">
        <v>547</v>
      </c>
      <c r="C12" s="48" t="s">
        <v>528</v>
      </c>
      <c r="D12" s="46">
        <v>2024</v>
      </c>
      <c r="E12" s="49">
        <v>55130000</v>
      </c>
      <c r="F12" s="47"/>
      <c r="G12" s="46">
        <v>1</v>
      </c>
      <c r="H12" s="4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48" x14ac:dyDescent="0.35">
      <c r="A13" s="46">
        <v>9</v>
      </c>
      <c r="B13" s="47" t="s">
        <v>548</v>
      </c>
      <c r="C13" s="48" t="s">
        <v>528</v>
      </c>
      <c r="D13" s="46">
        <v>2024</v>
      </c>
      <c r="E13" s="49">
        <v>26000000</v>
      </c>
      <c r="F13" s="47"/>
      <c r="G13" s="46">
        <v>1</v>
      </c>
      <c r="H13" s="48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31.5" customHeight="1" x14ac:dyDescent="0.35">
      <c r="A14" s="46">
        <v>10</v>
      </c>
      <c r="B14" s="47" t="s">
        <v>549</v>
      </c>
      <c r="C14" s="48" t="s">
        <v>550</v>
      </c>
      <c r="D14" s="46">
        <v>2024</v>
      </c>
      <c r="E14" s="49">
        <v>29000000</v>
      </c>
      <c r="F14" s="47" t="s">
        <v>551</v>
      </c>
      <c r="G14" s="46">
        <v>5</v>
      </c>
      <c r="H14" s="48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spans="1:26" ht="60" customHeight="1" x14ac:dyDescent="0.35">
      <c r="A15" s="46">
        <v>11</v>
      </c>
      <c r="B15" s="47" t="s">
        <v>552</v>
      </c>
      <c r="C15" s="48" t="s">
        <v>539</v>
      </c>
      <c r="D15" s="46">
        <v>2023</v>
      </c>
      <c r="E15" s="49">
        <v>47000000</v>
      </c>
      <c r="F15" s="47" t="s">
        <v>553</v>
      </c>
      <c r="G15" s="46"/>
      <c r="H15" s="48"/>
      <c r="I15" s="39" t="s">
        <v>531</v>
      </c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spans="1:26" ht="72" x14ac:dyDescent="0.35">
      <c r="A16" s="46">
        <v>12</v>
      </c>
      <c r="B16" s="47" t="s">
        <v>554</v>
      </c>
      <c r="C16" s="48" t="s">
        <v>528</v>
      </c>
      <c r="D16" s="46">
        <v>2023</v>
      </c>
      <c r="E16" s="49">
        <v>151320000</v>
      </c>
      <c r="F16" s="47"/>
      <c r="G16" s="46"/>
      <c r="H16" s="4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36" x14ac:dyDescent="0.35">
      <c r="A17" s="46">
        <v>13</v>
      </c>
      <c r="B17" s="47" t="s">
        <v>555</v>
      </c>
      <c r="C17" s="48" t="s">
        <v>556</v>
      </c>
      <c r="D17" s="46">
        <v>2023</v>
      </c>
      <c r="E17" s="49">
        <v>27000000</v>
      </c>
      <c r="F17" s="47" t="s">
        <v>551</v>
      </c>
      <c r="G17" s="46">
        <v>8</v>
      </c>
      <c r="H17" s="4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spans="1:26" ht="48" x14ac:dyDescent="0.35">
      <c r="A18" s="46">
        <v>14</v>
      </c>
      <c r="B18" s="47" t="s">
        <v>557</v>
      </c>
      <c r="C18" s="48" t="s">
        <v>544</v>
      </c>
      <c r="D18" s="46">
        <v>2023</v>
      </c>
      <c r="E18" s="49">
        <v>171145000</v>
      </c>
      <c r="F18" s="47" t="s">
        <v>558</v>
      </c>
      <c r="G18" s="46">
        <v>9</v>
      </c>
      <c r="H18" s="48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ht="36" x14ac:dyDescent="0.35">
      <c r="A19" s="46">
        <v>15</v>
      </c>
      <c r="B19" s="47" t="s">
        <v>541</v>
      </c>
      <c r="C19" s="48" t="s">
        <v>542</v>
      </c>
      <c r="D19" s="46">
        <v>2023</v>
      </c>
      <c r="E19" s="49">
        <v>240000000</v>
      </c>
      <c r="F19" s="47" t="s">
        <v>540</v>
      </c>
      <c r="G19" s="46">
        <v>2</v>
      </c>
      <c r="H19" s="48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ht="36" x14ac:dyDescent="0.35">
      <c r="A20" s="46">
        <v>16</v>
      </c>
      <c r="B20" s="47" t="s">
        <v>559</v>
      </c>
      <c r="C20" s="48" t="s">
        <v>542</v>
      </c>
      <c r="D20" s="46">
        <v>2023</v>
      </c>
      <c r="E20" s="49">
        <v>164660000</v>
      </c>
      <c r="F20" s="47" t="s">
        <v>560</v>
      </c>
      <c r="G20" s="46">
        <v>2</v>
      </c>
      <c r="H20" s="48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24" x14ac:dyDescent="0.35">
      <c r="A21" s="46">
        <v>17</v>
      </c>
      <c r="B21" s="47" t="s">
        <v>561</v>
      </c>
      <c r="C21" s="48" t="s">
        <v>536</v>
      </c>
      <c r="D21" s="46">
        <v>2023</v>
      </c>
      <c r="E21" s="49">
        <v>221083000</v>
      </c>
      <c r="F21" s="47"/>
      <c r="G21" s="46"/>
      <c r="H21" s="48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ht="60" x14ac:dyDescent="0.35">
      <c r="A22" s="46">
        <v>18</v>
      </c>
      <c r="B22" s="47" t="s">
        <v>562</v>
      </c>
      <c r="C22" s="48" t="s">
        <v>528</v>
      </c>
      <c r="D22" s="46">
        <v>2022</v>
      </c>
      <c r="E22" s="49">
        <v>121056000</v>
      </c>
      <c r="F22" s="47"/>
      <c r="G22" s="46"/>
      <c r="H22" s="4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ht="24" x14ac:dyDescent="0.35">
      <c r="A23" s="46">
        <v>19</v>
      </c>
      <c r="B23" s="47" t="s">
        <v>563</v>
      </c>
      <c r="C23" s="48" t="s">
        <v>564</v>
      </c>
      <c r="D23" s="46">
        <v>2022</v>
      </c>
      <c r="E23" s="49"/>
      <c r="F23" s="47"/>
      <c r="G23" s="46"/>
      <c r="H23" s="48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ht="36" x14ac:dyDescent="0.35">
      <c r="A24" s="46">
        <v>20</v>
      </c>
      <c r="B24" s="47" t="s">
        <v>565</v>
      </c>
      <c r="C24" s="48" t="s">
        <v>566</v>
      </c>
      <c r="D24" s="46">
        <v>2022</v>
      </c>
      <c r="E24" s="49">
        <v>757209000</v>
      </c>
      <c r="F24" s="47" t="s">
        <v>567</v>
      </c>
      <c r="G24" s="46">
        <v>3</v>
      </c>
      <c r="H24" s="48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ht="36" x14ac:dyDescent="0.35">
      <c r="A25" s="46">
        <v>21</v>
      </c>
      <c r="B25" s="47" t="s">
        <v>568</v>
      </c>
      <c r="C25" s="48" t="s">
        <v>569</v>
      </c>
      <c r="D25" s="46">
        <v>2022</v>
      </c>
      <c r="E25" s="49">
        <v>194900000</v>
      </c>
      <c r="F25" s="47" t="s">
        <v>570</v>
      </c>
      <c r="G25" s="46"/>
      <c r="H25" s="4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24" x14ac:dyDescent="0.35">
      <c r="A26" s="46">
        <v>22</v>
      </c>
      <c r="B26" s="47" t="s">
        <v>571</v>
      </c>
      <c r="C26" s="48" t="s">
        <v>572</v>
      </c>
      <c r="D26" s="46">
        <v>2022</v>
      </c>
      <c r="E26" s="49">
        <v>10000000</v>
      </c>
      <c r="F26" s="47" t="s">
        <v>129</v>
      </c>
      <c r="G26" s="46">
        <v>1</v>
      </c>
      <c r="H26" s="4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ht="24" x14ac:dyDescent="0.35">
      <c r="A27" s="46">
        <v>23</v>
      </c>
      <c r="B27" s="47" t="s">
        <v>573</v>
      </c>
      <c r="C27" s="48" t="s">
        <v>572</v>
      </c>
      <c r="D27" s="46">
        <v>2022</v>
      </c>
      <c r="E27" s="49">
        <v>5000000</v>
      </c>
      <c r="F27" s="47" t="s">
        <v>129</v>
      </c>
      <c r="G27" s="46">
        <v>2</v>
      </c>
      <c r="H27" s="4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ht="48" x14ac:dyDescent="0.35">
      <c r="A28" s="46">
        <v>24</v>
      </c>
      <c r="B28" s="47" t="s">
        <v>557</v>
      </c>
      <c r="C28" s="47" t="s">
        <v>544</v>
      </c>
      <c r="D28" s="46">
        <v>2022</v>
      </c>
      <c r="E28" s="50">
        <v>170600000</v>
      </c>
      <c r="F28" s="48" t="s">
        <v>540</v>
      </c>
      <c r="G28" s="46">
        <v>7</v>
      </c>
      <c r="H28" s="4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ht="48" x14ac:dyDescent="0.35">
      <c r="A29" s="46">
        <v>25</v>
      </c>
      <c r="B29" s="47" t="s">
        <v>574</v>
      </c>
      <c r="C29" s="47" t="s">
        <v>575</v>
      </c>
      <c r="D29" s="46">
        <v>2022</v>
      </c>
      <c r="E29" s="51">
        <v>87492000</v>
      </c>
      <c r="F29" s="48" t="s">
        <v>540</v>
      </c>
      <c r="G29" s="46">
        <v>4</v>
      </c>
      <c r="H29" s="4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48" x14ac:dyDescent="0.35">
      <c r="A30" s="46">
        <v>26</v>
      </c>
      <c r="B30" s="47" t="s">
        <v>576</v>
      </c>
      <c r="C30" s="47" t="s">
        <v>577</v>
      </c>
      <c r="D30" s="46">
        <v>2022</v>
      </c>
      <c r="E30" s="50">
        <v>121056000</v>
      </c>
      <c r="F30" s="48" t="s">
        <v>540</v>
      </c>
      <c r="G30" s="46">
        <v>1</v>
      </c>
      <c r="H30" s="4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48" x14ac:dyDescent="0.35">
      <c r="A31" s="46">
        <v>27</v>
      </c>
      <c r="B31" s="47" t="s">
        <v>578</v>
      </c>
      <c r="C31" s="47" t="s">
        <v>579</v>
      </c>
      <c r="D31" s="46">
        <v>2022</v>
      </c>
      <c r="E31" s="50">
        <v>120900000</v>
      </c>
      <c r="F31" s="48" t="s">
        <v>540</v>
      </c>
      <c r="G31" s="46">
        <v>1</v>
      </c>
      <c r="H31" s="4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24" x14ac:dyDescent="0.35">
      <c r="A32" s="46">
        <v>28</v>
      </c>
      <c r="B32" s="47" t="s">
        <v>580</v>
      </c>
      <c r="C32" s="47" t="s">
        <v>564</v>
      </c>
      <c r="D32" s="46">
        <v>2022</v>
      </c>
      <c r="E32" s="50"/>
      <c r="F32" s="48"/>
      <c r="G32" s="46"/>
      <c r="H32" s="4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4.25" customHeight="1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4.25" customHeight="1" x14ac:dyDescent="0.3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4.25" customHeight="1" x14ac:dyDescent="0.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4.25" customHeight="1" x14ac:dyDescent="0.3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4.25" customHeight="1" x14ac:dyDescent="0.3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4.25" customHeight="1" x14ac:dyDescent="0.3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4.25" customHeight="1" x14ac:dyDescent="0.3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4.25" customHeight="1" x14ac:dyDescent="0.3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4.25" customHeight="1" x14ac:dyDescent="0.3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4.25" customHeight="1" x14ac:dyDescent="0.3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4.25" customHeight="1" x14ac:dyDescent="0.3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ht="14.25" customHeight="1" x14ac:dyDescent="0.3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ht="14.25" customHeight="1" x14ac:dyDescent="0.3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ht="14.25" customHeight="1" x14ac:dyDescent="0.3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ht="14.25" customHeight="1" x14ac:dyDescent="0.3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ht="14.25" customHeight="1" x14ac:dyDescent="0.3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4.25" customHeight="1" x14ac:dyDescent="0.3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4.25" customHeight="1" x14ac:dyDescent="0.3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4.25" customHeight="1" x14ac:dyDescent="0.3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ht="14.25" customHeight="1" x14ac:dyDescent="0.3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ht="14.25" customHeight="1" x14ac:dyDescent="0.3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ht="14.25" customHeight="1" x14ac:dyDescent="0.3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ht="14.25" customHeight="1" x14ac:dyDescent="0.3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ht="14.25" customHeight="1" x14ac:dyDescent="0.3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ht="14.25" customHeight="1" x14ac:dyDescent="0.3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ht="14.25" customHeight="1" x14ac:dyDescent="0.3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ht="14.25" customHeight="1" x14ac:dyDescent="0.3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ht="14.25" customHeight="1" x14ac:dyDescent="0.3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ht="14.25" customHeight="1" x14ac:dyDescent="0.3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ht="14.25" customHeight="1" x14ac:dyDescent="0.3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ht="14.25" customHeight="1" x14ac:dyDescent="0.3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ht="14.25" customHeight="1" x14ac:dyDescent="0.3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ht="14.25" customHeight="1" x14ac:dyDescent="0.3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ht="14.25" customHeight="1" x14ac:dyDescent="0.3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ht="14.25" customHeight="1" x14ac:dyDescent="0.3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ht="14.25" customHeight="1" x14ac:dyDescent="0.3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ht="14.25" customHeight="1" x14ac:dyDescent="0.3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ht="14.25" customHeight="1" x14ac:dyDescent="0.3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 x14ac:dyDescent="0.3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 x14ac:dyDescent="0.3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 x14ac:dyDescent="0.3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 x14ac:dyDescent="0.3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 x14ac:dyDescent="0.3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ht="14.25" customHeight="1" x14ac:dyDescent="0.3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ht="14.25" customHeight="1" x14ac:dyDescent="0.3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ht="14.25" customHeight="1" x14ac:dyDescent="0.3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ht="14.25" customHeight="1" x14ac:dyDescent="0.3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ht="14.25" customHeight="1" x14ac:dyDescent="0.3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ht="14.25" customHeight="1" x14ac:dyDescent="0.3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ht="14.25" customHeight="1" x14ac:dyDescent="0.3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ht="14.25" customHeight="1" x14ac:dyDescent="0.3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ht="14.25" customHeight="1" x14ac:dyDescent="0.3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spans="1:26" ht="14.25" customHeight="1" x14ac:dyDescent="0.3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spans="1:26" ht="14.25" customHeight="1" x14ac:dyDescent="0.3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spans="1:26" ht="14.25" customHeight="1" x14ac:dyDescent="0.3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spans="1:26" ht="14.25" customHeight="1" x14ac:dyDescent="0.3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spans="1:26" ht="14.25" customHeight="1" x14ac:dyDescent="0.3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spans="1:26" ht="14.25" customHeight="1" x14ac:dyDescent="0.3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spans="1:26" ht="14.25" customHeight="1" x14ac:dyDescent="0.3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spans="1:26" ht="14.25" customHeight="1" x14ac:dyDescent="0.3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spans="1:26" ht="14.25" customHeight="1" x14ac:dyDescent="0.3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spans="1:26" ht="14.25" customHeight="1" x14ac:dyDescent="0.3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spans="1:26" ht="14.25" customHeight="1" x14ac:dyDescent="0.3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spans="1:26" ht="14.25" customHeight="1" x14ac:dyDescent="0.3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4.25" customHeight="1" x14ac:dyDescent="0.3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spans="1:26" ht="14.25" customHeight="1" x14ac:dyDescent="0.3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spans="1:26" ht="14.25" customHeight="1" x14ac:dyDescent="0.3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spans="1:26" ht="14.25" customHeight="1" x14ac:dyDescent="0.3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spans="1:26" ht="14.25" customHeight="1" x14ac:dyDescent="0.3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spans="1:26" ht="14.25" customHeight="1" x14ac:dyDescent="0.3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spans="1:26" ht="14.25" customHeight="1" x14ac:dyDescent="0.3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spans="1:26" ht="14.25" customHeight="1" x14ac:dyDescent="0.3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spans="1:26" ht="14.25" customHeight="1" x14ac:dyDescent="0.3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spans="1:26" ht="14.25" customHeight="1" x14ac:dyDescent="0.3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spans="1:26" ht="14.25" customHeight="1" x14ac:dyDescent="0.3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4.25" customHeight="1" x14ac:dyDescent="0.3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spans="1:26" ht="14.25" customHeight="1" x14ac:dyDescent="0.3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spans="1:26" ht="14.25" customHeight="1" x14ac:dyDescent="0.3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spans="1:26" ht="14.25" customHeight="1" x14ac:dyDescent="0.3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spans="1:26" ht="14.25" customHeight="1" x14ac:dyDescent="0.3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spans="1:26" ht="14.25" customHeight="1" x14ac:dyDescent="0.3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spans="1:26" ht="14.25" customHeight="1" x14ac:dyDescent="0.3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spans="1:26" ht="14.25" customHeight="1" x14ac:dyDescent="0.3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spans="1:26" ht="14.25" customHeight="1" x14ac:dyDescent="0.3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spans="1:26" ht="14.25" customHeight="1" x14ac:dyDescent="0.3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spans="1:26" ht="14.25" customHeight="1" x14ac:dyDescent="0.3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spans="1:26" ht="14.25" customHeight="1" x14ac:dyDescent="0.3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spans="1:26" ht="14.25" customHeight="1" x14ac:dyDescent="0.3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spans="1:26" ht="14.25" customHeight="1" x14ac:dyDescent="0.3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spans="1:26" ht="14.25" customHeight="1" x14ac:dyDescent="0.3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spans="1:26" ht="14.25" customHeight="1" x14ac:dyDescent="0.3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spans="1:26" ht="14.25" customHeight="1" x14ac:dyDescent="0.3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spans="1:26" ht="14.25" customHeight="1" x14ac:dyDescent="0.3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spans="1:26" ht="14.25" customHeight="1" x14ac:dyDescent="0.3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spans="1:26" ht="14.25" customHeight="1" x14ac:dyDescent="0.3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spans="1:26" ht="14.25" customHeight="1" x14ac:dyDescent="0.3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spans="1:26" ht="14.25" customHeight="1" x14ac:dyDescent="0.3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spans="1:26" ht="14.25" customHeight="1" x14ac:dyDescent="0.3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spans="1:26" ht="14.25" customHeight="1" x14ac:dyDescent="0.3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spans="1:26" ht="14.25" customHeight="1" x14ac:dyDescent="0.3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spans="1:26" ht="14.25" customHeight="1" x14ac:dyDescent="0.3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spans="1:26" ht="14.25" customHeight="1" x14ac:dyDescent="0.3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spans="1:26" ht="14.25" customHeight="1" x14ac:dyDescent="0.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spans="1:26" ht="14.25" customHeight="1" x14ac:dyDescent="0.3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spans="1:26" ht="14.25" customHeight="1" x14ac:dyDescent="0.3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spans="1:26" ht="14.25" customHeight="1" x14ac:dyDescent="0.3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spans="1:26" ht="14.25" customHeight="1" x14ac:dyDescent="0.3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spans="1:26" ht="14.25" customHeight="1" x14ac:dyDescent="0.3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spans="1:26" ht="14.25" customHeight="1" x14ac:dyDescent="0.3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spans="1:26" ht="14.25" customHeight="1" x14ac:dyDescent="0.3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spans="1:26" ht="14.25" customHeight="1" x14ac:dyDescent="0.3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spans="1:26" ht="14.25" customHeight="1" x14ac:dyDescent="0.3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spans="1:26" ht="14.25" customHeight="1" x14ac:dyDescent="0.3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spans="1:26" ht="14.25" customHeight="1" x14ac:dyDescent="0.3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spans="1:26" ht="14.25" customHeight="1" x14ac:dyDescent="0.3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spans="1:26" ht="14.25" customHeight="1" x14ac:dyDescent="0.3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spans="1:26" ht="14.25" customHeight="1" x14ac:dyDescent="0.3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spans="1:26" ht="14.25" customHeight="1" x14ac:dyDescent="0.3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spans="1:26" ht="14.25" customHeight="1" x14ac:dyDescent="0.3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spans="1:26" ht="14.25" customHeight="1" x14ac:dyDescent="0.3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spans="1:26" ht="14.25" customHeight="1" x14ac:dyDescent="0.3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spans="1:26" ht="14.25" customHeight="1" x14ac:dyDescent="0.3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spans="1:26" ht="14.25" customHeight="1" x14ac:dyDescent="0.3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spans="1:26" ht="14.25" customHeight="1" x14ac:dyDescent="0.3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spans="1:26" ht="14.25" customHeight="1" x14ac:dyDescent="0.3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spans="1:26" ht="14.25" customHeight="1" x14ac:dyDescent="0.3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spans="1:26" ht="14.25" customHeight="1" x14ac:dyDescent="0.3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spans="1:26" ht="14.25" customHeight="1" x14ac:dyDescent="0.3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spans="1:26" ht="14.25" customHeight="1" x14ac:dyDescent="0.3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spans="1:26" ht="14.25" customHeight="1" x14ac:dyDescent="0.3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spans="1:26" ht="14.25" customHeight="1" x14ac:dyDescent="0.3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spans="1:26" ht="14.25" customHeight="1" x14ac:dyDescent="0.3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spans="1:26" ht="14.25" customHeight="1" x14ac:dyDescent="0.3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spans="1:26" ht="14.25" customHeight="1" x14ac:dyDescent="0.3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spans="1:26" ht="14.25" customHeight="1" x14ac:dyDescent="0.3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spans="1:26" ht="14.25" customHeight="1" x14ac:dyDescent="0.3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spans="1:26" ht="14.25" customHeight="1" x14ac:dyDescent="0.3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spans="1:26" ht="14.25" customHeight="1" x14ac:dyDescent="0.3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spans="1:26" ht="14.25" customHeight="1" x14ac:dyDescent="0.3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spans="1:26" ht="14.25" customHeight="1" x14ac:dyDescent="0.3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spans="1:26" ht="14.25" customHeight="1" x14ac:dyDescent="0.3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spans="1:26" ht="14.25" customHeight="1" x14ac:dyDescent="0.3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spans="1:26" ht="14.25" customHeight="1" x14ac:dyDescent="0.3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spans="1:26" ht="14.25" customHeight="1" x14ac:dyDescent="0.3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spans="1:26" ht="14.25" customHeight="1" x14ac:dyDescent="0.3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spans="1:26" ht="14.25" customHeight="1" x14ac:dyDescent="0.3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spans="1:26" ht="14.25" customHeight="1" x14ac:dyDescent="0.3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spans="1:26" ht="14.25" customHeight="1" x14ac:dyDescent="0.3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spans="1:26" ht="14.25" customHeight="1" x14ac:dyDescent="0.3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spans="1:26" ht="14.25" customHeight="1" x14ac:dyDescent="0.3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spans="1:26" ht="14.25" customHeight="1" x14ac:dyDescent="0.3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spans="1:26" ht="14.25" customHeight="1" x14ac:dyDescent="0.3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spans="1:26" ht="14.25" customHeight="1" x14ac:dyDescent="0.3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spans="1:26" ht="14.25" customHeight="1" x14ac:dyDescent="0.3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spans="1:26" ht="14.25" customHeight="1" x14ac:dyDescent="0.3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spans="1:26" ht="14.25" customHeight="1" x14ac:dyDescent="0.3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spans="1:26" ht="14.25" customHeight="1" x14ac:dyDescent="0.3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spans="1:26" ht="14.25" customHeight="1" x14ac:dyDescent="0.3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spans="1:26" ht="14.25" customHeight="1" x14ac:dyDescent="0.3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spans="1:26" ht="14.25" customHeight="1" x14ac:dyDescent="0.3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spans="1:26" ht="14.25" customHeight="1" x14ac:dyDescent="0.3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spans="1:26" ht="14.25" customHeight="1" x14ac:dyDescent="0.3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spans="1:26" ht="14.25" customHeight="1" x14ac:dyDescent="0.3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spans="1:26" ht="14.25" customHeight="1" x14ac:dyDescent="0.3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spans="1:26" ht="14.25" customHeight="1" x14ac:dyDescent="0.3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spans="1:26" ht="14.25" customHeight="1" x14ac:dyDescent="0.3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spans="1:26" ht="14.25" customHeight="1" x14ac:dyDescent="0.3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spans="1:26" ht="14.25" customHeight="1" x14ac:dyDescent="0.3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spans="1:26" ht="14.25" customHeight="1" x14ac:dyDescent="0.3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spans="1:26" ht="14.25" customHeight="1" x14ac:dyDescent="0.3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spans="1:26" ht="14.25" customHeight="1" x14ac:dyDescent="0.3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spans="1:26" ht="14.25" customHeight="1" x14ac:dyDescent="0.3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spans="1:26" ht="14.25" customHeight="1" x14ac:dyDescent="0.3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spans="1:26" ht="14.25" customHeight="1" x14ac:dyDescent="0.3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spans="1:26" ht="14.25" customHeight="1" x14ac:dyDescent="0.3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spans="1:26" ht="14.25" customHeight="1" x14ac:dyDescent="0.3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spans="1:26" ht="14.25" customHeight="1" x14ac:dyDescent="0.3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spans="1:26" ht="14.25" customHeight="1" x14ac:dyDescent="0.3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spans="1:26" ht="14.25" customHeight="1" x14ac:dyDescent="0.3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spans="1:26" ht="14.25" customHeight="1" x14ac:dyDescent="0.3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spans="1:26" ht="14.25" customHeight="1" x14ac:dyDescent="0.3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spans="1:26" ht="14.25" customHeight="1" x14ac:dyDescent="0.3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spans="1:26" ht="14.25" customHeight="1" x14ac:dyDescent="0.3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spans="1:26" ht="14.25" customHeight="1" x14ac:dyDescent="0.3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spans="1:26" ht="14.25" customHeight="1" x14ac:dyDescent="0.3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spans="1:26" ht="14.25" customHeight="1" x14ac:dyDescent="0.3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spans="1:26" ht="15.75" customHeight="1" x14ac:dyDescent="0.35"/>
    <row r="220" spans="1:26" ht="15.75" customHeight="1" x14ac:dyDescent="0.35"/>
    <row r="221" spans="1:26" ht="15.75" customHeight="1" x14ac:dyDescent="0.35"/>
    <row r="222" spans="1:26" ht="15.75" customHeight="1" x14ac:dyDescent="0.35"/>
    <row r="223" spans="1:26" ht="15.75" customHeight="1" x14ac:dyDescent="0.35"/>
    <row r="224" spans="1:26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  <row r="927" customFormat="1" ht="15.75" customHeight="1" x14ac:dyDescent="0.35"/>
    <row r="928" customFormat="1" ht="15.75" customHeight="1" x14ac:dyDescent="0.35"/>
    <row r="929" customFormat="1" ht="15.75" customHeight="1" x14ac:dyDescent="0.35"/>
    <row r="930" customFormat="1" ht="15.75" customHeight="1" x14ac:dyDescent="0.35"/>
    <row r="931" customFormat="1" ht="15.75" customHeight="1" x14ac:dyDescent="0.35"/>
    <row r="932" customFormat="1" ht="15.75" customHeight="1" x14ac:dyDescent="0.35"/>
    <row r="933" customFormat="1" ht="15.75" customHeight="1" x14ac:dyDescent="0.35"/>
    <row r="934" customFormat="1" ht="15.75" customHeight="1" x14ac:dyDescent="0.35"/>
    <row r="935" customFormat="1" ht="15.75" customHeight="1" x14ac:dyDescent="0.35"/>
    <row r="936" customFormat="1" ht="15.75" customHeight="1" x14ac:dyDescent="0.35"/>
    <row r="937" customFormat="1" ht="15.75" customHeight="1" x14ac:dyDescent="0.35"/>
    <row r="938" customFormat="1" ht="15.75" customHeight="1" x14ac:dyDescent="0.35"/>
    <row r="939" customFormat="1" ht="15.75" customHeight="1" x14ac:dyDescent="0.35"/>
    <row r="940" customFormat="1" ht="15.75" customHeight="1" x14ac:dyDescent="0.35"/>
    <row r="941" customFormat="1" ht="15.75" customHeight="1" x14ac:dyDescent="0.35"/>
    <row r="942" customFormat="1" ht="15.75" customHeight="1" x14ac:dyDescent="0.35"/>
    <row r="943" customFormat="1" ht="15.75" customHeight="1" x14ac:dyDescent="0.35"/>
    <row r="944" customFormat="1" ht="15.75" customHeight="1" x14ac:dyDescent="0.35"/>
    <row r="945" customFormat="1" ht="15.75" customHeight="1" x14ac:dyDescent="0.35"/>
    <row r="946" customFormat="1" ht="15.75" customHeight="1" x14ac:dyDescent="0.35"/>
    <row r="947" customFormat="1" ht="15.75" customHeight="1" x14ac:dyDescent="0.35"/>
    <row r="948" customFormat="1" ht="15.75" customHeight="1" x14ac:dyDescent="0.35"/>
    <row r="949" customFormat="1" ht="15.75" customHeight="1" x14ac:dyDescent="0.35"/>
    <row r="950" customFormat="1" ht="15.75" customHeight="1" x14ac:dyDescent="0.35"/>
    <row r="951" customFormat="1" ht="15.75" customHeight="1" x14ac:dyDescent="0.35"/>
    <row r="952" customFormat="1" ht="15.75" customHeight="1" x14ac:dyDescent="0.35"/>
    <row r="953" customFormat="1" ht="15.75" customHeight="1" x14ac:dyDescent="0.35"/>
    <row r="954" customFormat="1" ht="15.75" customHeight="1" x14ac:dyDescent="0.35"/>
    <row r="955" customFormat="1" ht="15.75" customHeight="1" x14ac:dyDescent="0.35"/>
    <row r="956" customFormat="1" ht="15.75" customHeight="1" x14ac:dyDescent="0.35"/>
    <row r="957" customFormat="1" ht="15.75" customHeight="1" x14ac:dyDescent="0.35"/>
    <row r="958" customFormat="1" ht="15.75" customHeight="1" x14ac:dyDescent="0.35"/>
    <row r="959" customFormat="1" ht="15.75" customHeight="1" x14ac:dyDescent="0.35"/>
    <row r="960" customFormat="1" ht="15.75" customHeight="1" x14ac:dyDescent="0.35"/>
    <row r="961" customFormat="1" ht="15.75" customHeight="1" x14ac:dyDescent="0.35"/>
    <row r="962" customFormat="1" ht="15.75" customHeight="1" x14ac:dyDescent="0.35"/>
    <row r="963" customFormat="1" ht="15.75" customHeight="1" x14ac:dyDescent="0.35"/>
    <row r="964" customFormat="1" ht="15.75" customHeight="1" x14ac:dyDescent="0.35"/>
    <row r="965" customFormat="1" ht="15.75" customHeight="1" x14ac:dyDescent="0.35"/>
    <row r="966" customFormat="1" ht="15.75" customHeight="1" x14ac:dyDescent="0.35"/>
    <row r="967" customFormat="1" ht="15.75" customHeight="1" x14ac:dyDescent="0.35"/>
    <row r="968" customFormat="1" ht="15.75" customHeight="1" x14ac:dyDescent="0.35"/>
    <row r="969" customFormat="1" ht="15.75" customHeight="1" x14ac:dyDescent="0.35"/>
    <row r="970" customFormat="1" ht="15.75" customHeight="1" x14ac:dyDescent="0.35"/>
    <row r="971" customFormat="1" ht="15.75" customHeight="1" x14ac:dyDescent="0.35"/>
    <row r="972" customFormat="1" ht="15.75" customHeight="1" x14ac:dyDescent="0.35"/>
    <row r="973" customFormat="1" ht="15.75" customHeight="1" x14ac:dyDescent="0.35"/>
    <row r="974" customFormat="1" ht="15.75" customHeight="1" x14ac:dyDescent="0.35"/>
    <row r="975" customFormat="1" ht="15.75" customHeight="1" x14ac:dyDescent="0.35"/>
    <row r="976" customFormat="1" ht="15.75" customHeight="1" x14ac:dyDescent="0.35"/>
    <row r="977" customFormat="1" ht="15.75" customHeight="1" x14ac:dyDescent="0.35"/>
    <row r="978" customFormat="1" ht="15.75" customHeight="1" x14ac:dyDescent="0.35"/>
    <row r="979" customFormat="1" ht="15.75" customHeight="1" x14ac:dyDescent="0.35"/>
    <row r="980" customFormat="1" ht="15.75" customHeight="1" x14ac:dyDescent="0.35"/>
    <row r="981" customFormat="1" ht="15.75" customHeight="1" x14ac:dyDescent="0.35"/>
    <row r="982" customFormat="1" ht="15.75" customHeight="1" x14ac:dyDescent="0.35"/>
    <row r="983" customFormat="1" ht="15.75" customHeight="1" x14ac:dyDescent="0.35"/>
    <row r="984" customFormat="1" ht="15.75" customHeight="1" x14ac:dyDescent="0.35"/>
    <row r="985" customFormat="1" ht="15.75" customHeight="1" x14ac:dyDescent="0.35"/>
    <row r="986" customFormat="1" ht="15.75" customHeight="1" x14ac:dyDescent="0.35"/>
    <row r="987" customFormat="1" ht="15.75" customHeight="1" x14ac:dyDescent="0.35"/>
  </sheetData>
  <hyperlinks>
    <hyperlink ref="H1" location="'Daftar Tabel'!A1" display="&lt;&lt;&lt; Daftar Tabel" xr:uid="{1D5CCBB3-8B23-4731-A1BD-ECC4252C96D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BB6C-D3A9-412A-8DDF-7F3D482DBFF1}">
  <dimension ref="A1:AB1101"/>
  <sheetViews>
    <sheetView topLeftCell="A8" workbookViewId="0">
      <selection sqref="A1:XFD1048576"/>
    </sheetView>
  </sheetViews>
  <sheetFormatPr defaultColWidth="14.453125" defaultRowHeight="14.5" x14ac:dyDescent="0.35"/>
  <cols>
    <col min="1" max="1" width="5.453125" customWidth="1"/>
    <col min="2" max="2" width="28" customWidth="1"/>
    <col min="3" max="3" width="29.08984375" customWidth="1"/>
    <col min="4" max="4" width="10.81640625" customWidth="1"/>
    <col min="5" max="5" width="15.54296875" customWidth="1"/>
    <col min="6" max="6" width="24" customWidth="1"/>
    <col min="7" max="7" width="26.7265625" customWidth="1"/>
    <col min="8" max="8" width="21.7265625" customWidth="1"/>
    <col min="10" max="10" width="8.81640625" customWidth="1"/>
    <col min="11" max="11" width="32.54296875" customWidth="1"/>
    <col min="12" max="28" width="8.81640625" customWidth="1"/>
  </cols>
  <sheetData>
    <row r="1" spans="1:28" ht="28.5" customHeight="1" x14ac:dyDescent="0.35">
      <c r="A1" s="38" t="s">
        <v>0</v>
      </c>
      <c r="B1" s="38"/>
      <c r="C1" s="38"/>
      <c r="D1" s="44"/>
      <c r="E1" s="52"/>
      <c r="F1" s="44"/>
      <c r="G1" s="38"/>
      <c r="H1" s="53" t="s">
        <v>1</v>
      </c>
      <c r="I1" s="41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7.5" customHeight="1" x14ac:dyDescent="0.35">
      <c r="A2" s="38"/>
      <c r="B2" s="38"/>
      <c r="C2" s="38"/>
      <c r="D2" s="44"/>
      <c r="E2" s="52"/>
      <c r="F2" s="44"/>
      <c r="G2" s="38"/>
      <c r="H2" s="44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 spans="1:28" ht="28.5" customHeight="1" x14ac:dyDescent="0.35">
      <c r="A3" s="54" t="s">
        <v>2</v>
      </c>
      <c r="B3" s="55" t="s">
        <v>3</v>
      </c>
      <c r="C3" s="55" t="s">
        <v>4</v>
      </c>
      <c r="D3" s="55" t="s">
        <v>5</v>
      </c>
      <c r="E3" s="56" t="s">
        <v>6</v>
      </c>
      <c r="F3" s="55" t="s">
        <v>7</v>
      </c>
      <c r="G3" s="55" t="s">
        <v>8</v>
      </c>
      <c r="H3" s="54" t="s">
        <v>10</v>
      </c>
      <c r="I3" s="44"/>
      <c r="J3" s="146" t="s">
        <v>2</v>
      </c>
      <c r="K3" s="146" t="s">
        <v>581</v>
      </c>
      <c r="L3" s="148" t="s">
        <v>582</v>
      </c>
      <c r="M3" s="149"/>
      <c r="N3" s="149"/>
      <c r="O3" s="149"/>
      <c r="P3" s="150"/>
      <c r="Q3" s="146" t="s">
        <v>583</v>
      </c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28" ht="18.75" customHeight="1" x14ac:dyDescent="0.35">
      <c r="A4" s="57">
        <v>1</v>
      </c>
      <c r="B4" s="57">
        <v>2</v>
      </c>
      <c r="C4" s="57">
        <v>3</v>
      </c>
      <c r="D4" s="57">
        <v>4</v>
      </c>
      <c r="E4" s="57">
        <v>5</v>
      </c>
      <c r="F4" s="57">
        <v>6</v>
      </c>
      <c r="G4" s="57">
        <v>7</v>
      </c>
      <c r="H4" s="57">
        <v>8</v>
      </c>
      <c r="I4" s="39"/>
      <c r="J4" s="147"/>
      <c r="K4" s="147"/>
      <c r="L4" s="58">
        <v>2020</v>
      </c>
      <c r="M4" s="58">
        <v>2021</v>
      </c>
      <c r="N4" s="59" t="s">
        <v>584</v>
      </c>
      <c r="O4" s="59" t="s">
        <v>585</v>
      </c>
      <c r="P4" s="59" t="s">
        <v>586</v>
      </c>
      <c r="Q4" s="147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 spans="1:28" ht="28.5" customHeight="1" x14ac:dyDescent="0.35">
      <c r="A5" s="60">
        <f>ROW(A1)</f>
        <v>1</v>
      </c>
      <c r="B5" s="61" t="s">
        <v>587</v>
      </c>
      <c r="C5" s="61" t="s">
        <v>588</v>
      </c>
      <c r="D5" s="60">
        <v>2020</v>
      </c>
      <c r="E5" s="62">
        <v>246822000</v>
      </c>
      <c r="F5" s="63" t="s">
        <v>589</v>
      </c>
      <c r="G5" s="61" t="s">
        <v>590</v>
      </c>
      <c r="H5" s="60" t="s">
        <v>17</v>
      </c>
      <c r="I5" s="39"/>
      <c r="J5" s="64">
        <v>1</v>
      </c>
      <c r="K5" s="64">
        <v>2</v>
      </c>
      <c r="L5" s="64">
        <v>3</v>
      </c>
      <c r="M5" s="64">
        <v>4</v>
      </c>
      <c r="N5" s="64">
        <v>5</v>
      </c>
      <c r="O5" s="64">
        <v>6</v>
      </c>
      <c r="P5" s="64">
        <v>7</v>
      </c>
      <c r="Q5" s="64">
        <v>8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 spans="1:28" ht="28.5" customHeight="1" x14ac:dyDescent="0.35">
      <c r="A6" s="60">
        <f t="shared" ref="A6:A69" si="0">A5+1</f>
        <v>2</v>
      </c>
      <c r="B6" s="65" t="s">
        <v>591</v>
      </c>
      <c r="C6" s="65" t="s">
        <v>588</v>
      </c>
      <c r="D6" s="60">
        <v>2020</v>
      </c>
      <c r="E6" s="66">
        <v>235260000</v>
      </c>
      <c r="F6" s="67" t="s">
        <v>589</v>
      </c>
      <c r="G6" s="61" t="s">
        <v>592</v>
      </c>
      <c r="H6" s="60" t="s">
        <v>17</v>
      </c>
      <c r="I6" s="39"/>
      <c r="J6" s="68">
        <v>1</v>
      </c>
      <c r="K6" s="69" t="s">
        <v>593</v>
      </c>
      <c r="L6" s="70">
        <f t="shared" ref="L6:P6" si="1">SUM(L11:L12)</f>
        <v>25</v>
      </c>
      <c r="M6" s="70">
        <f t="shared" si="1"/>
        <v>15</v>
      </c>
      <c r="N6" s="70">
        <f t="shared" si="1"/>
        <v>45</v>
      </c>
      <c r="O6" s="70">
        <f t="shared" si="1"/>
        <v>82</v>
      </c>
      <c r="P6" s="70">
        <f t="shared" si="1"/>
        <v>10</v>
      </c>
      <c r="Q6" s="68">
        <f t="shared" ref="Q6:Q9" si="2">SUM(N6:P6)</f>
        <v>137</v>
      </c>
      <c r="R6" s="39">
        <f>Q6/5</f>
        <v>27.4</v>
      </c>
      <c r="S6" s="39"/>
      <c r="T6" s="39"/>
      <c r="U6" s="39"/>
      <c r="V6" s="39"/>
      <c r="W6" s="39"/>
      <c r="X6" s="39"/>
      <c r="Y6" s="39"/>
      <c r="Z6" s="39"/>
      <c r="AA6" s="39"/>
      <c r="AB6" s="39"/>
    </row>
    <row r="7" spans="1:28" ht="28.5" customHeight="1" x14ac:dyDescent="0.35">
      <c r="A7" s="60">
        <f t="shared" si="0"/>
        <v>3</v>
      </c>
      <c r="B7" s="65" t="s">
        <v>594</v>
      </c>
      <c r="C7" s="65" t="s">
        <v>595</v>
      </c>
      <c r="D7" s="60">
        <v>2020</v>
      </c>
      <c r="E7" s="66">
        <v>235700000</v>
      </c>
      <c r="F7" s="67" t="s">
        <v>589</v>
      </c>
      <c r="G7" s="61" t="s">
        <v>596</v>
      </c>
      <c r="H7" s="60" t="s">
        <v>17</v>
      </c>
      <c r="I7" s="39"/>
      <c r="J7" s="68">
        <v>2</v>
      </c>
      <c r="K7" s="69" t="s">
        <v>597</v>
      </c>
      <c r="L7" s="70">
        <f>COUNTIF($F$5:$F$38,"Lembaga dalam negeri (diluar PT)")</f>
        <v>0</v>
      </c>
      <c r="M7" s="70">
        <f>COUNTIF($F$39:$F$60,"Lembaga dalam negeri (diluar PT)")</f>
        <v>7</v>
      </c>
      <c r="N7" s="70">
        <f>COUNTIF($F$61:$F$124,"Lembaga dalam negeri (diluar PT)")</f>
        <v>19</v>
      </c>
      <c r="O7" s="70">
        <f>COUNTIF($F$125:$F$210,"Lembaga dalam negeri (diluar PT)")</f>
        <v>3</v>
      </c>
      <c r="P7" s="70">
        <f>COUNTIF($F$211:$F$232,"Lembaga dalam negeri (diluar PT)")</f>
        <v>12</v>
      </c>
      <c r="Q7" s="68">
        <f t="shared" si="2"/>
        <v>34</v>
      </c>
      <c r="R7" s="39">
        <f>Q7/4</f>
        <v>8.5</v>
      </c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ht="28.5" customHeight="1" x14ac:dyDescent="0.35">
      <c r="A8" s="60">
        <f t="shared" si="0"/>
        <v>4</v>
      </c>
      <c r="B8" s="65" t="s">
        <v>598</v>
      </c>
      <c r="C8" s="65" t="s">
        <v>595</v>
      </c>
      <c r="D8" s="60">
        <v>2020</v>
      </c>
      <c r="E8" s="66">
        <v>95875000</v>
      </c>
      <c r="F8" s="67" t="s">
        <v>589</v>
      </c>
      <c r="G8" s="71" t="s">
        <v>599</v>
      </c>
      <c r="H8" s="60" t="s">
        <v>17</v>
      </c>
      <c r="I8" s="39"/>
      <c r="J8" s="68">
        <v>3</v>
      </c>
      <c r="K8" s="69" t="s">
        <v>600</v>
      </c>
      <c r="L8" s="70">
        <f>COUNTIF($F$5:$F$38,"Lembaga luar negeri")</f>
        <v>0</v>
      </c>
      <c r="M8" s="70">
        <f>COUNTIF($F$39:$F$60,"Lembaga luar negeri")</f>
        <v>0</v>
      </c>
      <c r="N8" s="70">
        <f>COUNTIF($F$61:$F$124,"Lembaga luar negeri")</f>
        <v>0</v>
      </c>
      <c r="O8" s="70">
        <f>COUNTIF($F$125:$F$210,"Lembaga luar negeri")</f>
        <v>0</v>
      </c>
      <c r="P8" s="70">
        <f>COUNTIF($F$211:$F$232,"Lembaga luar negeri")</f>
        <v>0</v>
      </c>
      <c r="Q8" s="68">
        <f t="shared" si="2"/>
        <v>0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spans="1:28" ht="28.5" customHeight="1" x14ac:dyDescent="0.35">
      <c r="A9" s="60">
        <f t="shared" si="0"/>
        <v>5</v>
      </c>
      <c r="B9" s="72" t="s">
        <v>601</v>
      </c>
      <c r="C9" s="65" t="s">
        <v>602</v>
      </c>
      <c r="D9" s="60">
        <v>2020</v>
      </c>
      <c r="E9" s="73">
        <v>160582000</v>
      </c>
      <c r="F9" s="67" t="s">
        <v>589</v>
      </c>
      <c r="G9" s="71" t="s">
        <v>603</v>
      </c>
      <c r="H9" s="60" t="s">
        <v>17</v>
      </c>
      <c r="I9" s="39"/>
      <c r="J9" s="151" t="s">
        <v>583</v>
      </c>
      <c r="K9" s="150"/>
      <c r="L9" s="74">
        <f t="shared" ref="L9:P9" si="3">SUM(L6:L8)</f>
        <v>25</v>
      </c>
      <c r="M9" s="74">
        <f t="shared" si="3"/>
        <v>22</v>
      </c>
      <c r="N9" s="74">
        <f t="shared" si="3"/>
        <v>64</v>
      </c>
      <c r="O9" s="74">
        <f t="shared" si="3"/>
        <v>85</v>
      </c>
      <c r="P9" s="74">
        <f t="shared" si="3"/>
        <v>22</v>
      </c>
      <c r="Q9" s="74">
        <f t="shared" si="2"/>
        <v>171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spans="1:28" ht="28.5" customHeight="1" x14ac:dyDescent="0.35">
      <c r="A10" s="60">
        <f t="shared" si="0"/>
        <v>6</v>
      </c>
      <c r="B10" s="72" t="s">
        <v>604</v>
      </c>
      <c r="C10" s="65" t="s">
        <v>605</v>
      </c>
      <c r="D10" s="60">
        <v>2020</v>
      </c>
      <c r="E10" s="66">
        <v>97389000</v>
      </c>
      <c r="F10" s="67" t="s">
        <v>589</v>
      </c>
      <c r="G10" s="71" t="s">
        <v>606</v>
      </c>
      <c r="H10" s="60" t="s">
        <v>17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 spans="1:28" ht="28.5" customHeight="1" x14ac:dyDescent="0.35">
      <c r="A11" s="60">
        <f t="shared" si="0"/>
        <v>7</v>
      </c>
      <c r="B11" s="61" t="s">
        <v>607</v>
      </c>
      <c r="C11" s="65" t="s">
        <v>608</v>
      </c>
      <c r="D11" s="60">
        <v>2020</v>
      </c>
      <c r="E11" s="66">
        <v>135665000</v>
      </c>
      <c r="F11" s="67" t="s">
        <v>589</v>
      </c>
      <c r="G11" s="61" t="s">
        <v>609</v>
      </c>
      <c r="H11" s="60" t="s">
        <v>17</v>
      </c>
      <c r="I11" s="39"/>
      <c r="J11" s="39"/>
      <c r="K11" s="75" t="s">
        <v>589</v>
      </c>
      <c r="L11" s="76">
        <f>COUNTIF($F$5:$F$38,"Perguruan Tinggi")</f>
        <v>25</v>
      </c>
      <c r="M11" s="76">
        <f>COUNTIF($F$39:$F$60,"Perguruan Tinggi")</f>
        <v>13</v>
      </c>
      <c r="N11" s="76">
        <f>COUNTIF($F$61:$F$124,"Perguruan Tinggi")</f>
        <v>1</v>
      </c>
      <c r="O11" s="76">
        <f>COUNTIF($F$125:$F$210,"Perguruan Tinggi")</f>
        <v>24</v>
      </c>
      <c r="P11" s="76">
        <f>COUNTIF($F$211:$F$232,"Perguruan Tinggi")</f>
        <v>10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 spans="1:28" ht="28.5" customHeight="1" x14ac:dyDescent="0.35">
      <c r="A12" s="60">
        <f t="shared" si="0"/>
        <v>8</v>
      </c>
      <c r="B12" s="72" t="s">
        <v>610</v>
      </c>
      <c r="C12" s="65" t="s">
        <v>611</v>
      </c>
      <c r="D12" s="60">
        <v>2020</v>
      </c>
      <c r="E12" s="66">
        <v>98000000</v>
      </c>
      <c r="F12" s="67" t="s">
        <v>589</v>
      </c>
      <c r="G12" s="71" t="s">
        <v>606</v>
      </c>
      <c r="H12" s="60" t="s">
        <v>17</v>
      </c>
      <c r="I12" s="39"/>
      <c r="J12" s="39"/>
      <c r="K12" s="75" t="s">
        <v>129</v>
      </c>
      <c r="L12" s="76">
        <f>COUNTIF($F$5:$F$38,"Mandiri")</f>
        <v>0</v>
      </c>
      <c r="M12" s="76">
        <f>COUNTIF($F$39:$F$60,"Mandiri")</f>
        <v>2</v>
      </c>
      <c r="N12" s="76">
        <f>COUNTIF($F$61:$F$124,"Mandiri")</f>
        <v>44</v>
      </c>
      <c r="O12" s="76">
        <f>COUNTIF($F$125:$F$210,"Mandiri")</f>
        <v>58</v>
      </c>
      <c r="P12" s="76">
        <f>COUNTIF($F$211:$F$232,"Mandiri")</f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 spans="1:28" ht="28.5" customHeight="1" x14ac:dyDescent="0.35">
      <c r="A13" s="60">
        <f t="shared" si="0"/>
        <v>9</v>
      </c>
      <c r="B13" s="61" t="s">
        <v>612</v>
      </c>
      <c r="C13" s="65" t="s">
        <v>605</v>
      </c>
      <c r="D13" s="60">
        <v>2020</v>
      </c>
      <c r="E13" s="66">
        <v>175650000</v>
      </c>
      <c r="F13" s="67" t="s">
        <v>589</v>
      </c>
      <c r="G13" s="71" t="s">
        <v>606</v>
      </c>
      <c r="H13" s="60" t="s">
        <v>17</v>
      </c>
      <c r="I13" s="39"/>
      <c r="J13" s="39"/>
      <c r="K13" s="39"/>
      <c r="L13" s="44">
        <f>COUNTIF($F$5:$F$38,K11)+COUNTIF($F$5:$F$38,K12)</f>
        <v>25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 spans="1:28" ht="28.5" customHeight="1" x14ac:dyDescent="0.35">
      <c r="A14" s="60">
        <f t="shared" si="0"/>
        <v>10</v>
      </c>
      <c r="B14" s="61" t="s">
        <v>613</v>
      </c>
      <c r="C14" s="65" t="s">
        <v>602</v>
      </c>
      <c r="D14" s="60">
        <v>2020</v>
      </c>
      <c r="E14" s="77">
        <v>58002000</v>
      </c>
      <c r="F14" s="67" t="s">
        <v>589</v>
      </c>
      <c r="G14" s="61" t="s">
        <v>614</v>
      </c>
      <c r="H14" s="60" t="s">
        <v>17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spans="1:28" ht="28.5" customHeight="1" x14ac:dyDescent="0.35">
      <c r="A15" s="60">
        <f t="shared" si="0"/>
        <v>11</v>
      </c>
      <c r="B15" s="72" t="s">
        <v>615</v>
      </c>
      <c r="C15" s="65" t="s">
        <v>616</v>
      </c>
      <c r="D15" s="60">
        <v>2020</v>
      </c>
      <c r="E15" s="78">
        <v>60000000</v>
      </c>
      <c r="F15" s="67" t="s">
        <v>589</v>
      </c>
      <c r="G15" s="61" t="s">
        <v>617</v>
      </c>
      <c r="H15" s="60" t="s">
        <v>17</v>
      </c>
      <c r="I15" s="39"/>
      <c r="J15" s="79" t="s">
        <v>5</v>
      </c>
      <c r="K15" s="79" t="s">
        <v>583</v>
      </c>
      <c r="L15" s="152" t="s">
        <v>618</v>
      </c>
      <c r="M15" s="144"/>
      <c r="N15" s="44"/>
      <c r="O15" s="44"/>
      <c r="P15" s="44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28.5" customHeight="1" x14ac:dyDescent="0.35">
      <c r="A16" s="60">
        <f t="shared" si="0"/>
        <v>12</v>
      </c>
      <c r="B16" s="72" t="s">
        <v>619</v>
      </c>
      <c r="C16" s="65" t="s">
        <v>620</v>
      </c>
      <c r="D16" s="60">
        <v>2020</v>
      </c>
      <c r="E16" s="78">
        <v>37846000</v>
      </c>
      <c r="F16" s="67" t="s">
        <v>589</v>
      </c>
      <c r="G16" s="61" t="s">
        <v>621</v>
      </c>
      <c r="H16" s="60" t="s">
        <v>17</v>
      </c>
      <c r="I16" s="39"/>
      <c r="J16" s="44">
        <v>2020</v>
      </c>
      <c r="K16" s="44">
        <f>COUNTIF($D$5:$D$212,"2020")</f>
        <v>34</v>
      </c>
      <c r="L16" s="143">
        <f>SUM($E$5:$E$38)</f>
        <v>3014919815</v>
      </c>
      <c r="M16" s="144"/>
      <c r="N16" s="38"/>
      <c r="O16" s="38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 spans="1:28" ht="28.5" customHeight="1" x14ac:dyDescent="0.35">
      <c r="A17" s="60">
        <f t="shared" si="0"/>
        <v>13</v>
      </c>
      <c r="B17" s="65" t="s">
        <v>622</v>
      </c>
      <c r="C17" s="65" t="s">
        <v>611</v>
      </c>
      <c r="D17" s="60">
        <v>2020</v>
      </c>
      <c r="E17" s="78">
        <v>39200000</v>
      </c>
      <c r="F17" s="67" t="s">
        <v>589</v>
      </c>
      <c r="G17" s="61" t="s">
        <v>623</v>
      </c>
      <c r="H17" s="60" t="s">
        <v>17</v>
      </c>
      <c r="I17" s="39"/>
      <c r="J17" s="44">
        <v>2021</v>
      </c>
      <c r="K17" s="44">
        <f>COUNTIF($D$5:$D$212,"2021")</f>
        <v>22</v>
      </c>
      <c r="L17" s="143">
        <f>SUM($E$39:$E$60)</f>
        <v>2148943000</v>
      </c>
      <c r="M17" s="144"/>
      <c r="N17" s="38"/>
      <c r="O17" s="38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 spans="1:28" ht="28.5" customHeight="1" x14ac:dyDescent="0.35">
      <c r="A18" s="60">
        <f t="shared" si="0"/>
        <v>14</v>
      </c>
      <c r="B18" s="65" t="s">
        <v>624</v>
      </c>
      <c r="C18" s="65" t="s">
        <v>625</v>
      </c>
      <c r="D18" s="60">
        <v>2020</v>
      </c>
      <c r="E18" s="78">
        <v>37325000</v>
      </c>
      <c r="F18" s="67" t="s">
        <v>589</v>
      </c>
      <c r="G18" s="61" t="s">
        <v>623</v>
      </c>
      <c r="H18" s="60" t="s">
        <v>17</v>
      </c>
      <c r="I18" s="39"/>
      <c r="J18" s="44">
        <v>2022</v>
      </c>
      <c r="K18" s="44">
        <f>COUNTIF($D$5:$D$212,"2022")</f>
        <v>64</v>
      </c>
      <c r="L18" s="143">
        <f>SUM($E$61:$E$124)</f>
        <v>1727585000</v>
      </c>
      <c r="M18" s="144"/>
      <c r="N18" s="38"/>
      <c r="O18" s="38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 ht="28.5" customHeight="1" x14ac:dyDescent="0.35">
      <c r="A19" s="60">
        <f t="shared" si="0"/>
        <v>15</v>
      </c>
      <c r="B19" s="65" t="s">
        <v>626</v>
      </c>
      <c r="C19" s="65" t="s">
        <v>625</v>
      </c>
      <c r="D19" s="60">
        <v>2020</v>
      </c>
      <c r="E19" s="78">
        <v>37600000</v>
      </c>
      <c r="F19" s="67" t="s">
        <v>589</v>
      </c>
      <c r="G19" s="61" t="s">
        <v>623</v>
      </c>
      <c r="H19" s="60" t="s">
        <v>17</v>
      </c>
      <c r="I19" s="39"/>
      <c r="J19" s="44">
        <v>2023</v>
      </c>
      <c r="K19" s="44">
        <f>COUNTIF($D$5:$D$212,"2023")</f>
        <v>86</v>
      </c>
      <c r="L19" s="143">
        <f>SUM($E$125:$E$210)</f>
        <v>2837460702.5</v>
      </c>
      <c r="M19" s="144"/>
      <c r="N19" s="80">
        <f>L19/39</f>
        <v>72755402.628205135</v>
      </c>
      <c r="O19" s="38">
        <v>52</v>
      </c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 spans="1:28" ht="28.5" customHeight="1" x14ac:dyDescent="0.35">
      <c r="A20" s="60">
        <f t="shared" si="0"/>
        <v>16</v>
      </c>
      <c r="B20" s="65" t="s">
        <v>627</v>
      </c>
      <c r="C20" s="65" t="s">
        <v>628</v>
      </c>
      <c r="D20" s="60">
        <v>2020</v>
      </c>
      <c r="E20" s="78">
        <v>36100000</v>
      </c>
      <c r="F20" s="67" t="s">
        <v>589</v>
      </c>
      <c r="G20" s="61" t="s">
        <v>629</v>
      </c>
      <c r="H20" s="60" t="s">
        <v>17</v>
      </c>
      <c r="I20" s="39"/>
      <c r="J20" s="44">
        <v>2024</v>
      </c>
      <c r="K20" s="44">
        <f>COUNTIF($D$5:$D$212,"2024")</f>
        <v>2</v>
      </c>
      <c r="L20" s="143">
        <f>SUM($E$211:$E$212)</f>
        <v>681722500</v>
      </c>
      <c r="M20" s="144"/>
      <c r="N20" s="38"/>
      <c r="O20" s="38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 ht="28.5" customHeight="1" x14ac:dyDescent="0.35">
      <c r="A21" s="60">
        <f t="shared" si="0"/>
        <v>17</v>
      </c>
      <c r="B21" s="65" t="s">
        <v>630</v>
      </c>
      <c r="C21" s="65" t="s">
        <v>620</v>
      </c>
      <c r="D21" s="60">
        <v>2020</v>
      </c>
      <c r="E21" s="78">
        <v>60000000</v>
      </c>
      <c r="F21" s="67" t="s">
        <v>589</v>
      </c>
      <c r="G21" s="61" t="s">
        <v>623</v>
      </c>
      <c r="H21" s="60" t="s">
        <v>17</v>
      </c>
      <c r="I21" s="39"/>
      <c r="J21" s="44" t="s">
        <v>631</v>
      </c>
      <c r="K21" s="44">
        <f>SUM(K16:K20)</f>
        <v>208</v>
      </c>
      <c r="L21" s="145">
        <f>SUM(L17:M20)</f>
        <v>7395711202.5</v>
      </c>
      <c r="M21" s="144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 spans="1:28" ht="28.5" customHeight="1" x14ac:dyDescent="0.35">
      <c r="A22" s="60">
        <f t="shared" si="0"/>
        <v>18</v>
      </c>
      <c r="B22" s="65" t="s">
        <v>632</v>
      </c>
      <c r="C22" s="65" t="s">
        <v>611</v>
      </c>
      <c r="D22" s="60">
        <v>2020</v>
      </c>
      <c r="E22" s="78">
        <v>39992000</v>
      </c>
      <c r="F22" s="67" t="s">
        <v>589</v>
      </c>
      <c r="G22" s="61" t="s">
        <v>623</v>
      </c>
      <c r="H22" s="60" t="s">
        <v>17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 ht="28.5" customHeight="1" x14ac:dyDescent="0.35">
      <c r="A23" s="60">
        <f t="shared" si="0"/>
        <v>19</v>
      </c>
      <c r="B23" s="65" t="s">
        <v>633</v>
      </c>
      <c r="C23" s="65" t="s">
        <v>634</v>
      </c>
      <c r="D23" s="60">
        <v>2020</v>
      </c>
      <c r="E23" s="78">
        <v>60000000</v>
      </c>
      <c r="F23" s="67" t="s">
        <v>589</v>
      </c>
      <c r="G23" s="61" t="s">
        <v>635</v>
      </c>
      <c r="H23" s="60" t="s">
        <v>17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spans="1:28" ht="28.5" customHeight="1" x14ac:dyDescent="0.35">
      <c r="A24" s="60">
        <f t="shared" si="0"/>
        <v>20</v>
      </c>
      <c r="B24" s="65" t="s">
        <v>636</v>
      </c>
      <c r="C24" s="65" t="s">
        <v>588</v>
      </c>
      <c r="D24" s="60">
        <v>2020</v>
      </c>
      <c r="E24" s="78">
        <v>60000000</v>
      </c>
      <c r="F24" s="67" t="s">
        <v>589</v>
      </c>
      <c r="G24" s="61" t="s">
        <v>623</v>
      </c>
      <c r="H24" s="60" t="s">
        <v>17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 ht="28.5" customHeight="1" x14ac:dyDescent="0.35">
      <c r="A25" s="60">
        <f t="shared" si="0"/>
        <v>21</v>
      </c>
      <c r="B25" s="65" t="s">
        <v>637</v>
      </c>
      <c r="C25" s="65" t="s">
        <v>588</v>
      </c>
      <c r="D25" s="60">
        <v>2020</v>
      </c>
      <c r="E25" s="78">
        <v>60000000</v>
      </c>
      <c r="F25" s="67" t="s">
        <v>589</v>
      </c>
      <c r="G25" s="61" t="s">
        <v>623</v>
      </c>
      <c r="H25" s="60" t="s">
        <v>17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spans="1:28" ht="28.5" customHeight="1" x14ac:dyDescent="0.35">
      <c r="A26" s="60">
        <f t="shared" si="0"/>
        <v>22</v>
      </c>
      <c r="B26" s="65" t="s">
        <v>638</v>
      </c>
      <c r="C26" s="65" t="s">
        <v>611</v>
      </c>
      <c r="D26" s="60">
        <v>2020</v>
      </c>
      <c r="E26" s="78">
        <v>60000000</v>
      </c>
      <c r="F26" s="67" t="s">
        <v>589</v>
      </c>
      <c r="G26" s="61" t="s">
        <v>623</v>
      </c>
      <c r="H26" s="60" t="s">
        <v>17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</row>
    <row r="27" spans="1:28" ht="28.5" customHeight="1" x14ac:dyDescent="0.35">
      <c r="A27" s="60">
        <f t="shared" si="0"/>
        <v>23</v>
      </c>
      <c r="B27" s="65" t="s">
        <v>639</v>
      </c>
      <c r="C27" s="65" t="s">
        <v>625</v>
      </c>
      <c r="D27" s="60">
        <v>2020</v>
      </c>
      <c r="E27" s="78">
        <v>59993000</v>
      </c>
      <c r="F27" s="67" t="s">
        <v>589</v>
      </c>
      <c r="G27" s="61" t="s">
        <v>623</v>
      </c>
      <c r="H27" s="60" t="s">
        <v>17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</row>
    <row r="28" spans="1:28" ht="28.5" customHeight="1" x14ac:dyDescent="0.35">
      <c r="A28" s="60">
        <f t="shared" si="0"/>
        <v>24</v>
      </c>
      <c r="B28" s="65" t="s">
        <v>640</v>
      </c>
      <c r="C28" s="65" t="s">
        <v>625</v>
      </c>
      <c r="D28" s="60">
        <v>2020</v>
      </c>
      <c r="E28" s="78">
        <v>60000000</v>
      </c>
      <c r="F28" s="67" t="s">
        <v>589</v>
      </c>
      <c r="G28" s="61" t="s">
        <v>623</v>
      </c>
      <c r="H28" s="60" t="s">
        <v>17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spans="1:28" ht="28.5" customHeight="1" x14ac:dyDescent="0.35">
      <c r="A29" s="60">
        <f t="shared" si="0"/>
        <v>25</v>
      </c>
      <c r="B29" s="65" t="s">
        <v>641</v>
      </c>
      <c r="C29" s="61" t="s">
        <v>625</v>
      </c>
      <c r="D29" s="60">
        <v>2020</v>
      </c>
      <c r="E29" s="78">
        <v>59062000</v>
      </c>
      <c r="F29" s="67" t="s">
        <v>589</v>
      </c>
      <c r="G29" s="61" t="s">
        <v>642</v>
      </c>
      <c r="H29" s="60" t="s">
        <v>17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spans="1:28" ht="28.5" customHeight="1" x14ac:dyDescent="0.35">
      <c r="A30" s="60">
        <f t="shared" si="0"/>
        <v>26</v>
      </c>
      <c r="B30" s="65" t="s">
        <v>643</v>
      </c>
      <c r="C30" s="61" t="s">
        <v>595</v>
      </c>
      <c r="D30" s="60">
        <v>2020</v>
      </c>
      <c r="E30" s="78">
        <v>25000000</v>
      </c>
      <c r="F30" s="67" t="s">
        <v>644</v>
      </c>
      <c r="G30" s="61" t="s">
        <v>645</v>
      </c>
      <c r="H30" s="60" t="s">
        <v>17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</row>
    <row r="31" spans="1:28" ht="28.5" customHeight="1" x14ac:dyDescent="0.35">
      <c r="A31" s="60">
        <f t="shared" si="0"/>
        <v>27</v>
      </c>
      <c r="B31" s="65" t="s">
        <v>646</v>
      </c>
      <c r="C31" s="61" t="s">
        <v>595</v>
      </c>
      <c r="D31" s="60">
        <v>2020</v>
      </c>
      <c r="E31" s="78">
        <v>25000000</v>
      </c>
      <c r="F31" s="67" t="s">
        <v>644</v>
      </c>
      <c r="G31" s="61" t="s">
        <v>647</v>
      </c>
      <c r="H31" s="60" t="s">
        <v>17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</row>
    <row r="32" spans="1:28" ht="28.5" customHeight="1" x14ac:dyDescent="0.35">
      <c r="A32" s="60">
        <f t="shared" si="0"/>
        <v>28</v>
      </c>
      <c r="B32" s="65" t="s">
        <v>648</v>
      </c>
      <c r="C32" s="61" t="s">
        <v>595</v>
      </c>
      <c r="D32" s="60">
        <v>2020</v>
      </c>
      <c r="E32" s="78">
        <v>25000000</v>
      </c>
      <c r="F32" s="67" t="s">
        <v>644</v>
      </c>
      <c r="G32" s="61" t="s">
        <v>649</v>
      </c>
      <c r="H32" s="60" t="s">
        <v>17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spans="1:28" ht="28.5" customHeight="1" x14ac:dyDescent="0.35">
      <c r="A33" s="60">
        <f t="shared" si="0"/>
        <v>29</v>
      </c>
      <c r="B33" s="65" t="s">
        <v>650</v>
      </c>
      <c r="C33" s="61" t="s">
        <v>595</v>
      </c>
      <c r="D33" s="60">
        <v>2020</v>
      </c>
      <c r="E33" s="78">
        <v>25000000</v>
      </c>
      <c r="F33" s="67" t="s">
        <v>651</v>
      </c>
      <c r="G33" s="61" t="s">
        <v>652</v>
      </c>
      <c r="H33" s="60" t="s">
        <v>17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</row>
    <row r="34" spans="1:28" ht="28.5" customHeight="1" x14ac:dyDescent="0.35">
      <c r="A34" s="60">
        <f t="shared" si="0"/>
        <v>30</v>
      </c>
      <c r="B34" s="65" t="s">
        <v>653</v>
      </c>
      <c r="C34" s="61" t="s">
        <v>654</v>
      </c>
      <c r="D34" s="60">
        <v>2020</v>
      </c>
      <c r="E34" s="81"/>
      <c r="F34" s="67" t="s">
        <v>644</v>
      </c>
      <c r="G34" s="61" t="s">
        <v>655</v>
      </c>
      <c r="H34" s="60" t="s">
        <v>17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</row>
    <row r="35" spans="1:28" ht="28.5" customHeight="1" x14ac:dyDescent="0.35">
      <c r="A35" s="60">
        <f t="shared" si="0"/>
        <v>31</v>
      </c>
      <c r="B35" s="65" t="s">
        <v>656</v>
      </c>
      <c r="C35" s="61" t="s">
        <v>605</v>
      </c>
      <c r="D35" s="60">
        <v>2020</v>
      </c>
      <c r="E35" s="81">
        <v>60000000</v>
      </c>
      <c r="F35" s="67" t="s">
        <v>644</v>
      </c>
      <c r="G35" s="71" t="s">
        <v>657</v>
      </c>
      <c r="H35" s="60" t="s">
        <v>17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</row>
    <row r="36" spans="1:28" ht="28.5" customHeight="1" x14ac:dyDescent="0.35">
      <c r="A36" s="60">
        <f t="shared" si="0"/>
        <v>32</v>
      </c>
      <c r="B36" s="65" t="s">
        <v>658</v>
      </c>
      <c r="C36" s="61" t="s">
        <v>602</v>
      </c>
      <c r="D36" s="60">
        <v>2020</v>
      </c>
      <c r="E36" s="78">
        <v>99745250</v>
      </c>
      <c r="F36" s="67" t="s">
        <v>644</v>
      </c>
      <c r="G36" s="71" t="s">
        <v>603</v>
      </c>
      <c r="H36" s="60" t="s">
        <v>17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</row>
    <row r="37" spans="1:28" ht="28.5" customHeight="1" x14ac:dyDescent="0.35">
      <c r="A37" s="60">
        <f t="shared" si="0"/>
        <v>33</v>
      </c>
      <c r="B37" s="65" t="s">
        <v>659</v>
      </c>
      <c r="C37" s="61" t="s">
        <v>660</v>
      </c>
      <c r="D37" s="60">
        <v>2020</v>
      </c>
      <c r="E37" s="78">
        <v>171434065</v>
      </c>
      <c r="F37" s="67" t="s">
        <v>644</v>
      </c>
      <c r="G37" s="71" t="s">
        <v>603</v>
      </c>
      <c r="H37" s="60" t="s">
        <v>17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ht="28.5" customHeight="1" x14ac:dyDescent="0.35">
      <c r="A38" s="60">
        <f t="shared" si="0"/>
        <v>34</v>
      </c>
      <c r="B38" s="65" t="s">
        <v>661</v>
      </c>
      <c r="C38" s="61" t="s">
        <v>602</v>
      </c>
      <c r="D38" s="60">
        <v>2020</v>
      </c>
      <c r="E38" s="78">
        <v>277677500</v>
      </c>
      <c r="F38" s="67" t="s">
        <v>644</v>
      </c>
      <c r="G38" s="61" t="s">
        <v>662</v>
      </c>
      <c r="H38" s="60" t="s">
        <v>17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</row>
    <row r="39" spans="1:28" ht="28.5" customHeight="1" x14ac:dyDescent="0.35">
      <c r="A39" s="82">
        <f t="shared" si="0"/>
        <v>35</v>
      </c>
      <c r="B39" s="83" t="s">
        <v>663</v>
      </c>
      <c r="C39" s="84" t="s">
        <v>664</v>
      </c>
      <c r="D39" s="85">
        <v>2021</v>
      </c>
      <c r="E39" s="78">
        <v>27500000</v>
      </c>
      <c r="F39" s="67" t="s">
        <v>589</v>
      </c>
      <c r="G39" s="86" t="s">
        <v>665</v>
      </c>
      <c r="H39" s="60" t="s">
        <v>17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</row>
    <row r="40" spans="1:28" ht="28.5" customHeight="1" x14ac:dyDescent="0.35">
      <c r="A40" s="60">
        <f t="shared" si="0"/>
        <v>36</v>
      </c>
      <c r="B40" s="83" t="s">
        <v>666</v>
      </c>
      <c r="C40" s="84" t="s">
        <v>667</v>
      </c>
      <c r="D40" s="87">
        <v>2021</v>
      </c>
      <c r="E40" s="78">
        <v>100000000</v>
      </c>
      <c r="F40" s="63" t="s">
        <v>129</v>
      </c>
      <c r="G40" s="86" t="s">
        <v>603</v>
      </c>
      <c r="H40" s="60" t="s">
        <v>17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</row>
    <row r="41" spans="1:28" ht="28.5" customHeight="1" x14ac:dyDescent="0.35">
      <c r="A41" s="60">
        <f t="shared" si="0"/>
        <v>37</v>
      </c>
      <c r="B41" s="83" t="s">
        <v>668</v>
      </c>
      <c r="C41" s="84" t="s">
        <v>605</v>
      </c>
      <c r="D41" s="87">
        <v>2021</v>
      </c>
      <c r="E41" s="78">
        <v>141300000</v>
      </c>
      <c r="F41" s="88" t="s">
        <v>589</v>
      </c>
      <c r="G41" s="86" t="s">
        <v>669</v>
      </c>
      <c r="H41" s="60" t="s">
        <v>17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</row>
    <row r="42" spans="1:28" ht="28.5" customHeight="1" x14ac:dyDescent="0.35">
      <c r="A42" s="60">
        <f t="shared" si="0"/>
        <v>38</v>
      </c>
      <c r="B42" s="83" t="s">
        <v>670</v>
      </c>
      <c r="C42" s="84" t="s">
        <v>671</v>
      </c>
      <c r="D42" s="87">
        <v>2021</v>
      </c>
      <c r="E42" s="78">
        <v>153340000</v>
      </c>
      <c r="F42" s="89" t="s">
        <v>589</v>
      </c>
      <c r="G42" s="86" t="s">
        <v>672</v>
      </c>
      <c r="H42" s="60" t="s">
        <v>17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</row>
    <row r="43" spans="1:28" ht="28.5" customHeight="1" x14ac:dyDescent="0.35">
      <c r="A43" s="60">
        <f t="shared" si="0"/>
        <v>39</v>
      </c>
      <c r="B43" s="83" t="s">
        <v>673</v>
      </c>
      <c r="C43" s="84" t="s">
        <v>674</v>
      </c>
      <c r="D43" s="87">
        <v>2021</v>
      </c>
      <c r="E43" s="78">
        <v>100000000</v>
      </c>
      <c r="F43" s="63" t="s">
        <v>129</v>
      </c>
      <c r="G43" s="86" t="s">
        <v>603</v>
      </c>
      <c r="H43" s="60" t="s">
        <v>17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</row>
    <row r="44" spans="1:28" ht="28.5" customHeight="1" x14ac:dyDescent="0.35">
      <c r="A44" s="60">
        <f t="shared" si="0"/>
        <v>40</v>
      </c>
      <c r="B44" s="83" t="s">
        <v>675</v>
      </c>
      <c r="C44" s="84" t="s">
        <v>676</v>
      </c>
      <c r="D44" s="87">
        <v>2021</v>
      </c>
      <c r="E44" s="78">
        <v>97642000</v>
      </c>
      <c r="F44" s="89" t="s">
        <v>597</v>
      </c>
      <c r="G44" s="86" t="s">
        <v>665</v>
      </c>
      <c r="H44" s="60" t="s">
        <v>17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</row>
    <row r="45" spans="1:28" ht="28.5" customHeight="1" x14ac:dyDescent="0.35">
      <c r="A45" s="60">
        <f t="shared" si="0"/>
        <v>41</v>
      </c>
      <c r="B45" s="83" t="s">
        <v>677</v>
      </c>
      <c r="C45" s="84" t="s">
        <v>678</v>
      </c>
      <c r="D45" s="87">
        <v>2021</v>
      </c>
      <c r="E45" s="78">
        <v>125660000</v>
      </c>
      <c r="F45" s="89" t="s">
        <v>589</v>
      </c>
      <c r="G45" s="86" t="s">
        <v>679</v>
      </c>
      <c r="H45" s="60" t="s">
        <v>17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</row>
    <row r="46" spans="1:28" ht="28.5" customHeight="1" x14ac:dyDescent="0.35">
      <c r="A46" s="60">
        <f t="shared" si="0"/>
        <v>42</v>
      </c>
      <c r="B46" s="83" t="s">
        <v>680</v>
      </c>
      <c r="C46" s="84" t="s">
        <v>681</v>
      </c>
      <c r="D46" s="87">
        <v>2021</v>
      </c>
      <c r="E46" s="78">
        <v>145830000</v>
      </c>
      <c r="F46" s="89" t="s">
        <v>589</v>
      </c>
      <c r="G46" s="86" t="s">
        <v>682</v>
      </c>
      <c r="H46" s="87" t="s">
        <v>17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</row>
    <row r="47" spans="1:28" ht="28.5" customHeight="1" x14ac:dyDescent="0.35">
      <c r="A47" s="60">
        <f t="shared" si="0"/>
        <v>43</v>
      </c>
      <c r="B47" s="83" t="s">
        <v>683</v>
      </c>
      <c r="C47" s="84" t="s">
        <v>611</v>
      </c>
      <c r="D47" s="87">
        <v>2021</v>
      </c>
      <c r="E47" s="78">
        <v>56830000</v>
      </c>
      <c r="F47" s="89" t="s">
        <v>589</v>
      </c>
      <c r="G47" s="86" t="s">
        <v>684</v>
      </c>
      <c r="H47" s="87" t="s">
        <v>17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</row>
    <row r="48" spans="1:28" ht="28.5" customHeight="1" x14ac:dyDescent="0.35">
      <c r="A48" s="60">
        <f t="shared" si="0"/>
        <v>44</v>
      </c>
      <c r="B48" s="83" t="s">
        <v>685</v>
      </c>
      <c r="C48" s="84" t="s">
        <v>588</v>
      </c>
      <c r="D48" s="87">
        <v>2021</v>
      </c>
      <c r="E48" s="78">
        <v>37050000</v>
      </c>
      <c r="F48" s="89" t="s">
        <v>589</v>
      </c>
      <c r="G48" s="86" t="s">
        <v>686</v>
      </c>
      <c r="H48" s="87" t="s">
        <v>17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</row>
    <row r="49" spans="1:28" ht="28.5" customHeight="1" x14ac:dyDescent="0.35">
      <c r="A49" s="60">
        <f t="shared" si="0"/>
        <v>45</v>
      </c>
      <c r="B49" s="83" t="s">
        <v>637</v>
      </c>
      <c r="C49" s="84" t="s">
        <v>588</v>
      </c>
      <c r="D49" s="87">
        <v>2021</v>
      </c>
      <c r="E49" s="78">
        <v>58000000</v>
      </c>
      <c r="F49" s="89" t="s">
        <v>589</v>
      </c>
      <c r="G49" s="86" t="s">
        <v>687</v>
      </c>
      <c r="H49" s="87" t="s">
        <v>17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</row>
    <row r="50" spans="1:28" ht="28.5" customHeight="1" x14ac:dyDescent="0.35">
      <c r="A50" s="60">
        <f t="shared" si="0"/>
        <v>46</v>
      </c>
      <c r="B50" s="83" t="s">
        <v>688</v>
      </c>
      <c r="C50" s="84" t="s">
        <v>689</v>
      </c>
      <c r="D50" s="87">
        <v>2021</v>
      </c>
      <c r="E50" s="78">
        <v>58860000</v>
      </c>
      <c r="F50" s="89" t="s">
        <v>589</v>
      </c>
      <c r="G50" s="86" t="s">
        <v>690</v>
      </c>
      <c r="H50" s="87" t="s">
        <v>17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1:28" ht="28.5" customHeight="1" x14ac:dyDescent="0.35">
      <c r="A51" s="60">
        <f t="shared" si="0"/>
        <v>47</v>
      </c>
      <c r="B51" s="83" t="s">
        <v>691</v>
      </c>
      <c r="C51" s="84" t="s">
        <v>602</v>
      </c>
      <c r="D51" s="87">
        <v>2021</v>
      </c>
      <c r="E51" s="78">
        <v>60000000</v>
      </c>
      <c r="F51" s="89" t="s">
        <v>589</v>
      </c>
      <c r="G51" s="86" t="s">
        <v>603</v>
      </c>
      <c r="H51" s="87" t="s">
        <v>17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</row>
    <row r="52" spans="1:28" ht="28.5" customHeight="1" x14ac:dyDescent="0.35">
      <c r="A52" s="60">
        <f t="shared" si="0"/>
        <v>48</v>
      </c>
      <c r="B52" s="83" t="s">
        <v>692</v>
      </c>
      <c r="C52" s="84" t="s">
        <v>693</v>
      </c>
      <c r="D52" s="87">
        <v>2021</v>
      </c>
      <c r="E52" s="78">
        <v>106150000</v>
      </c>
      <c r="F52" s="89" t="s">
        <v>589</v>
      </c>
      <c r="G52" s="86" t="s">
        <v>694</v>
      </c>
      <c r="H52" s="87" t="s">
        <v>17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:28" ht="28.5" customHeight="1" x14ac:dyDescent="0.35">
      <c r="A53" s="60">
        <f t="shared" si="0"/>
        <v>49</v>
      </c>
      <c r="B53" s="83" t="s">
        <v>695</v>
      </c>
      <c r="C53" s="84" t="s">
        <v>696</v>
      </c>
      <c r="D53" s="87">
        <v>2021</v>
      </c>
      <c r="E53" s="78">
        <v>159740000</v>
      </c>
      <c r="F53" s="89" t="s">
        <v>589</v>
      </c>
      <c r="G53" s="86" t="s">
        <v>697</v>
      </c>
      <c r="H53" s="87" t="s">
        <v>17</v>
      </c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1:28" ht="28.5" customHeight="1" x14ac:dyDescent="0.35">
      <c r="A54" s="60">
        <f t="shared" si="0"/>
        <v>50</v>
      </c>
      <c r="B54" s="83" t="s">
        <v>698</v>
      </c>
      <c r="C54" s="84" t="s">
        <v>620</v>
      </c>
      <c r="D54" s="87">
        <v>2021</v>
      </c>
      <c r="E54" s="78">
        <v>144000000</v>
      </c>
      <c r="F54" s="89" t="s">
        <v>589</v>
      </c>
      <c r="G54" s="86" t="s">
        <v>699</v>
      </c>
      <c r="H54" s="87" t="s">
        <v>17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:28" ht="28.5" customHeight="1" x14ac:dyDescent="0.35">
      <c r="A55" s="60">
        <f t="shared" si="0"/>
        <v>51</v>
      </c>
      <c r="B55" s="83" t="s">
        <v>700</v>
      </c>
      <c r="C55" s="84" t="s">
        <v>605</v>
      </c>
      <c r="D55" s="87">
        <v>2021</v>
      </c>
      <c r="E55" s="78">
        <v>141300000</v>
      </c>
      <c r="F55" s="89" t="s">
        <v>597</v>
      </c>
      <c r="G55" s="86" t="s">
        <v>701</v>
      </c>
      <c r="H55" s="87" t="s">
        <v>17</v>
      </c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spans="1:28" ht="28.5" customHeight="1" x14ac:dyDescent="0.35">
      <c r="A56" s="60">
        <f t="shared" si="0"/>
        <v>52</v>
      </c>
      <c r="B56" s="83" t="s">
        <v>702</v>
      </c>
      <c r="C56" s="84" t="s">
        <v>671</v>
      </c>
      <c r="D56" s="87">
        <v>2021</v>
      </c>
      <c r="E56" s="78">
        <v>150741000</v>
      </c>
      <c r="F56" s="89" t="s">
        <v>597</v>
      </c>
      <c r="G56" s="86" t="s">
        <v>703</v>
      </c>
      <c r="H56" s="87" t="s">
        <v>17</v>
      </c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 ht="28.5" customHeight="1" x14ac:dyDescent="0.35">
      <c r="A57" s="60">
        <f t="shared" si="0"/>
        <v>53</v>
      </c>
      <c r="B57" s="83" t="s">
        <v>704</v>
      </c>
      <c r="C57" s="84" t="s">
        <v>595</v>
      </c>
      <c r="D57" s="87">
        <v>2021</v>
      </c>
      <c r="E57" s="78">
        <v>285000000</v>
      </c>
      <c r="F57" s="89" t="s">
        <v>597</v>
      </c>
      <c r="G57" s="86" t="s">
        <v>705</v>
      </c>
      <c r="H57" s="87" t="s">
        <v>17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spans="1:28" ht="28.5" customHeight="1" x14ac:dyDescent="0.35">
      <c r="A58" s="60">
        <f t="shared" si="0"/>
        <v>54</v>
      </c>
      <c r="B58" s="90" t="s">
        <v>706</v>
      </c>
      <c r="C58" s="90" t="s">
        <v>678</v>
      </c>
      <c r="D58" s="63">
        <v>2021</v>
      </c>
      <c r="E58" s="81"/>
      <c r="F58" s="89" t="s">
        <v>597</v>
      </c>
      <c r="G58" s="91" t="s">
        <v>707</v>
      </c>
      <c r="H58" s="87" t="s">
        <v>17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spans="1:28" ht="28.5" customHeight="1" x14ac:dyDescent="0.35">
      <c r="A59" s="60">
        <f t="shared" si="0"/>
        <v>55</v>
      </c>
      <c r="B59" s="90" t="s">
        <v>708</v>
      </c>
      <c r="C59" s="90" t="s">
        <v>709</v>
      </c>
      <c r="D59" s="63">
        <v>2021</v>
      </c>
      <c r="E59" s="81"/>
      <c r="F59" s="89" t="s">
        <v>597</v>
      </c>
      <c r="G59" s="91" t="s">
        <v>710</v>
      </c>
      <c r="H59" s="87" t="s">
        <v>17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spans="1:28" ht="28.5" customHeight="1" x14ac:dyDescent="0.35">
      <c r="A60" s="60">
        <f t="shared" si="0"/>
        <v>56</v>
      </c>
      <c r="B60" s="61" t="s">
        <v>711</v>
      </c>
      <c r="C60" s="90" t="s">
        <v>674</v>
      </c>
      <c r="D60" s="63">
        <v>2021</v>
      </c>
      <c r="E60" s="81"/>
      <c r="F60" s="89" t="s">
        <v>597</v>
      </c>
      <c r="G60" s="92" t="s">
        <v>712</v>
      </c>
      <c r="H60" s="87" t="s">
        <v>17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spans="1:28" ht="28.5" customHeight="1" x14ac:dyDescent="0.35">
      <c r="A61" s="60">
        <f t="shared" si="0"/>
        <v>57</v>
      </c>
      <c r="B61" s="90" t="s">
        <v>713</v>
      </c>
      <c r="C61" s="90" t="s">
        <v>605</v>
      </c>
      <c r="D61" s="63">
        <v>2022</v>
      </c>
      <c r="E61" s="78">
        <v>180000000</v>
      </c>
      <c r="F61" s="63" t="s">
        <v>129</v>
      </c>
      <c r="G61" s="91" t="s">
        <v>665</v>
      </c>
      <c r="H61" s="87" t="s">
        <v>17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spans="1:28" ht="28.5" customHeight="1" x14ac:dyDescent="0.35">
      <c r="A62" s="60">
        <f t="shared" si="0"/>
        <v>58</v>
      </c>
      <c r="B62" s="90" t="s">
        <v>714</v>
      </c>
      <c r="C62" s="90" t="s">
        <v>709</v>
      </c>
      <c r="D62" s="63">
        <v>2022</v>
      </c>
      <c r="E62" s="78">
        <v>100000000</v>
      </c>
      <c r="F62" s="63" t="s">
        <v>129</v>
      </c>
      <c r="G62" s="91" t="s">
        <v>665</v>
      </c>
      <c r="H62" s="87" t="s">
        <v>17</v>
      </c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spans="1:28" ht="28.5" customHeight="1" x14ac:dyDescent="0.35">
      <c r="A63" s="60">
        <f t="shared" si="0"/>
        <v>59</v>
      </c>
      <c r="B63" s="90" t="s">
        <v>715</v>
      </c>
      <c r="C63" s="90" t="s">
        <v>709</v>
      </c>
      <c r="D63" s="63">
        <v>2022</v>
      </c>
      <c r="E63" s="78">
        <v>10000000</v>
      </c>
      <c r="F63" s="63" t="s">
        <v>129</v>
      </c>
      <c r="G63" s="91" t="s">
        <v>665</v>
      </c>
      <c r="H63" s="87" t="s">
        <v>17</v>
      </c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spans="1:28" ht="28.5" customHeight="1" x14ac:dyDescent="0.35">
      <c r="A64" s="60">
        <f t="shared" si="0"/>
        <v>60</v>
      </c>
      <c r="B64" s="90" t="s">
        <v>716</v>
      </c>
      <c r="C64" s="90" t="s">
        <v>717</v>
      </c>
      <c r="D64" s="63">
        <v>2022</v>
      </c>
      <c r="E64" s="78">
        <v>15000000</v>
      </c>
      <c r="F64" s="63" t="s">
        <v>129</v>
      </c>
      <c r="G64" s="91" t="s">
        <v>665</v>
      </c>
      <c r="H64" s="87" t="s">
        <v>17</v>
      </c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spans="1:28" ht="28.5" customHeight="1" x14ac:dyDescent="0.35">
      <c r="A65" s="60">
        <f t="shared" si="0"/>
        <v>61</v>
      </c>
      <c r="B65" s="90" t="s">
        <v>718</v>
      </c>
      <c r="C65" s="90" t="s">
        <v>717</v>
      </c>
      <c r="D65" s="63">
        <v>2022</v>
      </c>
      <c r="E65" s="78">
        <v>20000000</v>
      </c>
      <c r="F65" s="63" t="s">
        <v>129</v>
      </c>
      <c r="G65" s="91" t="s">
        <v>665</v>
      </c>
      <c r="H65" s="87" t="s">
        <v>17</v>
      </c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spans="1:28" ht="28.5" customHeight="1" x14ac:dyDescent="0.35">
      <c r="A66" s="60">
        <f t="shared" si="0"/>
        <v>62</v>
      </c>
      <c r="B66" s="90" t="s">
        <v>719</v>
      </c>
      <c r="C66" s="90" t="s">
        <v>720</v>
      </c>
      <c r="D66" s="63">
        <v>2022</v>
      </c>
      <c r="E66" s="78">
        <v>22400000</v>
      </c>
      <c r="F66" s="67" t="s">
        <v>589</v>
      </c>
      <c r="G66" s="91" t="s">
        <v>721</v>
      </c>
      <c r="H66" s="87" t="s">
        <v>17</v>
      </c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 spans="1:28" ht="28.5" customHeight="1" x14ac:dyDescent="0.35">
      <c r="A67" s="60">
        <f t="shared" si="0"/>
        <v>63</v>
      </c>
      <c r="B67" s="90" t="s">
        <v>722</v>
      </c>
      <c r="C67" s="90" t="s">
        <v>689</v>
      </c>
      <c r="D67" s="63">
        <v>2022</v>
      </c>
      <c r="E67" s="78">
        <v>125394000</v>
      </c>
      <c r="F67" s="89" t="s">
        <v>597</v>
      </c>
      <c r="G67" s="91" t="s">
        <v>723</v>
      </c>
      <c r="H67" s="87" t="s">
        <v>17</v>
      </c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spans="1:28" ht="28.5" customHeight="1" x14ac:dyDescent="0.35">
      <c r="A68" s="60">
        <f t="shared" si="0"/>
        <v>64</v>
      </c>
      <c r="B68" s="90" t="s">
        <v>724</v>
      </c>
      <c r="C68" s="90" t="s">
        <v>696</v>
      </c>
      <c r="D68" s="63">
        <v>2022</v>
      </c>
      <c r="E68" s="78">
        <v>128840000</v>
      </c>
      <c r="F68" s="89" t="s">
        <v>597</v>
      </c>
      <c r="G68" s="92" t="s">
        <v>725</v>
      </c>
      <c r="H68" s="87" t="s">
        <v>17</v>
      </c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 spans="1:28" ht="28.5" customHeight="1" x14ac:dyDescent="0.35">
      <c r="A69" s="60">
        <f t="shared" si="0"/>
        <v>65</v>
      </c>
      <c r="B69" s="90" t="s">
        <v>726</v>
      </c>
      <c r="C69" s="90" t="s">
        <v>625</v>
      </c>
      <c r="D69" s="63">
        <v>2022</v>
      </c>
      <c r="E69" s="78">
        <v>63000000</v>
      </c>
      <c r="F69" s="89" t="s">
        <v>597</v>
      </c>
      <c r="G69" s="91" t="s">
        <v>727</v>
      </c>
      <c r="H69" s="87" t="s">
        <v>17</v>
      </c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spans="1:28" ht="28.5" customHeight="1" x14ac:dyDescent="0.35">
      <c r="A70" s="60">
        <f t="shared" ref="A70:A124" si="4">A69+1</f>
        <v>66</v>
      </c>
      <c r="B70" s="90" t="s">
        <v>728</v>
      </c>
      <c r="C70" s="90" t="s">
        <v>681</v>
      </c>
      <c r="D70" s="63">
        <v>2022</v>
      </c>
      <c r="E70" s="78">
        <v>120224000</v>
      </c>
      <c r="F70" s="89" t="s">
        <v>597</v>
      </c>
      <c r="G70" s="91" t="s">
        <v>729</v>
      </c>
      <c r="H70" s="87" t="s">
        <v>17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spans="1:28" ht="28.5" customHeight="1" x14ac:dyDescent="0.35">
      <c r="A71" s="60">
        <f t="shared" si="4"/>
        <v>67</v>
      </c>
      <c r="B71" s="90" t="s">
        <v>730</v>
      </c>
      <c r="C71" s="90" t="s">
        <v>693</v>
      </c>
      <c r="D71" s="63">
        <v>2022</v>
      </c>
      <c r="E71" s="78">
        <v>50000000</v>
      </c>
      <c r="F71" s="89" t="s">
        <v>597</v>
      </c>
      <c r="G71" s="91" t="s">
        <v>731</v>
      </c>
      <c r="H71" s="87" t="s">
        <v>17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spans="1:28" ht="28.5" customHeight="1" x14ac:dyDescent="0.35">
      <c r="A72" s="60">
        <f t="shared" si="4"/>
        <v>68</v>
      </c>
      <c r="B72" s="90" t="s">
        <v>732</v>
      </c>
      <c r="C72" s="90" t="s">
        <v>595</v>
      </c>
      <c r="D72" s="63">
        <v>2022</v>
      </c>
      <c r="E72" s="78">
        <v>75000000</v>
      </c>
      <c r="F72" s="89" t="s">
        <v>597</v>
      </c>
      <c r="G72" s="91" t="s">
        <v>733</v>
      </c>
      <c r="H72" s="87" t="s">
        <v>17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spans="1:28" ht="28.5" customHeight="1" x14ac:dyDescent="0.35">
      <c r="A73" s="60">
        <f t="shared" si="4"/>
        <v>69</v>
      </c>
      <c r="B73" s="93" t="s">
        <v>734</v>
      </c>
      <c r="C73" s="90" t="s">
        <v>735</v>
      </c>
      <c r="D73" s="63">
        <v>2022</v>
      </c>
      <c r="E73" s="78">
        <v>30000000</v>
      </c>
      <c r="F73" s="89" t="s">
        <v>597</v>
      </c>
      <c r="G73" s="91" t="s">
        <v>736</v>
      </c>
      <c r="H73" s="87" t="s">
        <v>17</v>
      </c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spans="1:28" ht="28.5" customHeight="1" x14ac:dyDescent="0.35">
      <c r="A74" s="60">
        <f t="shared" si="4"/>
        <v>70</v>
      </c>
      <c r="B74" s="63" t="s">
        <v>737</v>
      </c>
      <c r="C74" s="90" t="s">
        <v>588</v>
      </c>
      <c r="D74" s="63">
        <v>2022</v>
      </c>
      <c r="E74" s="78">
        <v>151300000</v>
      </c>
      <c r="F74" s="89" t="s">
        <v>597</v>
      </c>
      <c r="G74" s="91" t="s">
        <v>738</v>
      </c>
      <c r="H74" s="87" t="s">
        <v>17</v>
      </c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spans="1:28" ht="28.5" customHeight="1" x14ac:dyDescent="0.35">
      <c r="A75" s="60">
        <f t="shared" si="4"/>
        <v>71</v>
      </c>
      <c r="B75" s="90" t="s">
        <v>739</v>
      </c>
      <c r="C75" s="90" t="s">
        <v>608</v>
      </c>
      <c r="D75" s="63">
        <v>2022</v>
      </c>
      <c r="E75" s="78">
        <v>54000000</v>
      </c>
      <c r="F75" s="89" t="s">
        <v>597</v>
      </c>
      <c r="G75" s="91" t="s">
        <v>740</v>
      </c>
      <c r="H75" s="87" t="s">
        <v>17</v>
      </c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spans="1:28" ht="28.5" customHeight="1" x14ac:dyDescent="0.35">
      <c r="A76" s="60">
        <f t="shared" si="4"/>
        <v>72</v>
      </c>
      <c r="B76" s="90" t="s">
        <v>741</v>
      </c>
      <c r="C76" s="90" t="s">
        <v>625</v>
      </c>
      <c r="D76" s="63">
        <v>2022</v>
      </c>
      <c r="E76" s="78">
        <v>50000000</v>
      </c>
      <c r="F76" s="89" t="s">
        <v>597</v>
      </c>
      <c r="G76" s="91" t="s">
        <v>742</v>
      </c>
      <c r="H76" s="87" t="s">
        <v>17</v>
      </c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spans="1:28" ht="28.5" customHeight="1" x14ac:dyDescent="0.35">
      <c r="A77" s="60">
        <f t="shared" si="4"/>
        <v>73</v>
      </c>
      <c r="B77" s="90" t="s">
        <v>743</v>
      </c>
      <c r="C77" s="90" t="s">
        <v>654</v>
      </c>
      <c r="D77" s="63">
        <v>2022</v>
      </c>
      <c r="E77" s="78">
        <v>29800000</v>
      </c>
      <c r="F77" s="89" t="s">
        <v>597</v>
      </c>
      <c r="G77" s="91" t="s">
        <v>744</v>
      </c>
      <c r="H77" s="87" t="s">
        <v>17</v>
      </c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spans="1:28" ht="28.5" customHeight="1" x14ac:dyDescent="0.35">
      <c r="A78" s="60">
        <f t="shared" si="4"/>
        <v>74</v>
      </c>
      <c r="B78" s="90" t="s">
        <v>745</v>
      </c>
      <c r="C78" s="90" t="s">
        <v>595</v>
      </c>
      <c r="D78" s="63">
        <v>2022</v>
      </c>
      <c r="E78" s="78">
        <v>58680000</v>
      </c>
      <c r="F78" s="89" t="s">
        <v>597</v>
      </c>
      <c r="G78" s="91" t="s">
        <v>746</v>
      </c>
      <c r="H78" s="87" t="s">
        <v>17</v>
      </c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spans="1:28" ht="28.5" customHeight="1" x14ac:dyDescent="0.35">
      <c r="A79" s="60">
        <f t="shared" si="4"/>
        <v>75</v>
      </c>
      <c r="B79" s="90" t="s">
        <v>747</v>
      </c>
      <c r="C79" s="90" t="s">
        <v>588</v>
      </c>
      <c r="D79" s="63">
        <v>2022</v>
      </c>
      <c r="E79" s="78">
        <v>28900000</v>
      </c>
      <c r="F79" s="89" t="s">
        <v>597</v>
      </c>
      <c r="G79" s="91" t="s">
        <v>748</v>
      </c>
      <c r="H79" s="87" t="s">
        <v>17</v>
      </c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spans="1:28" ht="28.5" customHeight="1" x14ac:dyDescent="0.35">
      <c r="A80" s="60">
        <f t="shared" si="4"/>
        <v>76</v>
      </c>
      <c r="B80" s="90" t="s">
        <v>749</v>
      </c>
      <c r="C80" s="90" t="s">
        <v>750</v>
      </c>
      <c r="D80" s="63">
        <v>2022</v>
      </c>
      <c r="E80" s="78">
        <v>27000000</v>
      </c>
      <c r="F80" s="89" t="s">
        <v>597</v>
      </c>
      <c r="G80" s="91" t="s">
        <v>751</v>
      </c>
      <c r="H80" s="87" t="s">
        <v>17</v>
      </c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spans="1:28" ht="28.5" customHeight="1" x14ac:dyDescent="0.35">
      <c r="A81" s="60">
        <f t="shared" si="4"/>
        <v>77</v>
      </c>
      <c r="B81" s="90" t="s">
        <v>752</v>
      </c>
      <c r="C81" s="90" t="s">
        <v>611</v>
      </c>
      <c r="D81" s="63">
        <v>2022</v>
      </c>
      <c r="E81" s="78">
        <v>53847000</v>
      </c>
      <c r="F81" s="89" t="s">
        <v>597</v>
      </c>
      <c r="G81" s="91" t="s">
        <v>753</v>
      </c>
      <c r="H81" s="87" t="s">
        <v>17</v>
      </c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spans="1:28" ht="28.5" customHeight="1" x14ac:dyDescent="0.35">
      <c r="A82" s="60">
        <f t="shared" si="4"/>
        <v>78</v>
      </c>
      <c r="B82" s="90" t="s">
        <v>754</v>
      </c>
      <c r="C82" s="90" t="s">
        <v>628</v>
      </c>
      <c r="D82" s="63">
        <v>2022</v>
      </c>
      <c r="E82" s="78">
        <v>28200000</v>
      </c>
      <c r="F82" s="89" t="s">
        <v>597</v>
      </c>
      <c r="G82" s="91" t="s">
        <v>755</v>
      </c>
      <c r="H82" s="87" t="s">
        <v>17</v>
      </c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spans="1:28" ht="28.5" customHeight="1" x14ac:dyDescent="0.35">
      <c r="A83" s="60">
        <f t="shared" si="4"/>
        <v>79</v>
      </c>
      <c r="B83" s="90" t="s">
        <v>756</v>
      </c>
      <c r="C83" s="90" t="s">
        <v>757</v>
      </c>
      <c r="D83" s="63">
        <v>2022</v>
      </c>
      <c r="E83" s="78">
        <v>28000000</v>
      </c>
      <c r="F83" s="89" t="s">
        <v>597</v>
      </c>
      <c r="G83" s="91" t="s">
        <v>758</v>
      </c>
      <c r="H83" s="87" t="s">
        <v>17</v>
      </c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spans="1:28" ht="28.5" customHeight="1" x14ac:dyDescent="0.35">
      <c r="A84" s="60">
        <f t="shared" si="4"/>
        <v>80</v>
      </c>
      <c r="B84" s="90" t="s">
        <v>759</v>
      </c>
      <c r="C84" s="90" t="s">
        <v>625</v>
      </c>
      <c r="D84" s="63">
        <v>2022</v>
      </c>
      <c r="E84" s="78">
        <v>28000000</v>
      </c>
      <c r="F84" s="89" t="s">
        <v>597</v>
      </c>
      <c r="G84" s="91" t="s">
        <v>760</v>
      </c>
      <c r="H84" s="87" t="s">
        <v>17</v>
      </c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spans="1:28" ht="28.5" customHeight="1" x14ac:dyDescent="0.35">
      <c r="A85" s="60">
        <f t="shared" si="4"/>
        <v>81</v>
      </c>
      <c r="B85" s="90" t="s">
        <v>761</v>
      </c>
      <c r="C85" s="90" t="s">
        <v>681</v>
      </c>
      <c r="D85" s="63">
        <v>2022</v>
      </c>
      <c r="E85" s="78">
        <v>20000000</v>
      </c>
      <c r="F85" s="89" t="s">
        <v>597</v>
      </c>
      <c r="G85" s="91" t="s">
        <v>762</v>
      </c>
      <c r="H85" s="87" t="s">
        <v>17</v>
      </c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spans="1:28" ht="28.5" customHeight="1" x14ac:dyDescent="0.35">
      <c r="A86" s="60">
        <f t="shared" si="4"/>
        <v>82</v>
      </c>
      <c r="B86" s="90" t="s">
        <v>763</v>
      </c>
      <c r="C86" s="90" t="s">
        <v>674</v>
      </c>
      <c r="D86" s="63">
        <v>2022</v>
      </c>
      <c r="E86" s="78">
        <v>5000000</v>
      </c>
      <c r="F86" s="63" t="s">
        <v>129</v>
      </c>
      <c r="G86" s="91" t="s">
        <v>764</v>
      </c>
      <c r="H86" s="63" t="s">
        <v>17</v>
      </c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spans="1:28" ht="28.5" customHeight="1" x14ac:dyDescent="0.35">
      <c r="A87" s="60">
        <f t="shared" si="4"/>
        <v>83</v>
      </c>
      <c r="B87" s="90" t="s">
        <v>765</v>
      </c>
      <c r="C87" s="90" t="s">
        <v>689</v>
      </c>
      <c r="D87" s="63">
        <v>2022</v>
      </c>
      <c r="E87" s="78">
        <v>5000000</v>
      </c>
      <c r="F87" s="63" t="s">
        <v>129</v>
      </c>
      <c r="G87" s="91" t="s">
        <v>766</v>
      </c>
      <c r="H87" s="63" t="s">
        <v>17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spans="1:28" ht="28.5" customHeight="1" x14ac:dyDescent="0.35">
      <c r="A88" s="60">
        <f t="shared" si="4"/>
        <v>84</v>
      </c>
      <c r="B88" s="90" t="s">
        <v>767</v>
      </c>
      <c r="C88" s="90" t="s">
        <v>768</v>
      </c>
      <c r="D88" s="63">
        <v>2022</v>
      </c>
      <c r="E88" s="78">
        <v>10000000</v>
      </c>
      <c r="F88" s="63" t="s">
        <v>129</v>
      </c>
      <c r="G88" s="91" t="s">
        <v>769</v>
      </c>
      <c r="H88" s="63" t="s">
        <v>17</v>
      </c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spans="1:28" ht="28.5" customHeight="1" x14ac:dyDescent="0.35">
      <c r="A89" s="60">
        <f t="shared" si="4"/>
        <v>85</v>
      </c>
      <c r="B89" s="90" t="s">
        <v>770</v>
      </c>
      <c r="C89" s="90" t="s">
        <v>667</v>
      </c>
      <c r="D89" s="63">
        <v>2022</v>
      </c>
      <c r="E89" s="78">
        <v>10000000</v>
      </c>
      <c r="F89" s="63" t="s">
        <v>129</v>
      </c>
      <c r="G89" s="91" t="s">
        <v>771</v>
      </c>
      <c r="H89" s="63" t="s">
        <v>17</v>
      </c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spans="1:28" ht="28.5" customHeight="1" x14ac:dyDescent="0.35">
      <c r="A90" s="60">
        <f t="shared" si="4"/>
        <v>86</v>
      </c>
      <c r="B90" s="90" t="s">
        <v>772</v>
      </c>
      <c r="C90" s="90" t="s">
        <v>735</v>
      </c>
      <c r="D90" s="63">
        <v>2022</v>
      </c>
      <c r="E90" s="78">
        <v>10000000</v>
      </c>
      <c r="F90" s="63" t="s">
        <v>129</v>
      </c>
      <c r="G90" s="91" t="s">
        <v>773</v>
      </c>
      <c r="H90" s="63" t="s">
        <v>17</v>
      </c>
      <c r="I90" s="39"/>
      <c r="J90" s="39"/>
      <c r="K90" s="75" t="s">
        <v>774</v>
      </c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spans="1:28" ht="28.5" customHeight="1" x14ac:dyDescent="0.35">
      <c r="A91" s="60">
        <f t="shared" si="4"/>
        <v>87</v>
      </c>
      <c r="B91" s="90" t="s">
        <v>775</v>
      </c>
      <c r="C91" s="90" t="s">
        <v>717</v>
      </c>
      <c r="D91" s="63">
        <v>2022</v>
      </c>
      <c r="E91" s="78">
        <v>5000000</v>
      </c>
      <c r="F91" s="63" t="s">
        <v>129</v>
      </c>
      <c r="G91" s="91" t="s">
        <v>776</v>
      </c>
      <c r="H91" s="63" t="s">
        <v>17</v>
      </c>
      <c r="I91" s="39"/>
      <c r="J91" s="94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spans="1:28" ht="28.5" customHeight="1" x14ac:dyDescent="0.35">
      <c r="A92" s="60">
        <f t="shared" si="4"/>
        <v>88</v>
      </c>
      <c r="B92" s="90" t="s">
        <v>777</v>
      </c>
      <c r="C92" s="90" t="s">
        <v>634</v>
      </c>
      <c r="D92" s="63">
        <v>2022</v>
      </c>
      <c r="E92" s="78">
        <v>5000000</v>
      </c>
      <c r="F92" s="63" t="s">
        <v>129</v>
      </c>
      <c r="G92" s="91" t="s">
        <v>778</v>
      </c>
      <c r="H92" s="63" t="s">
        <v>17</v>
      </c>
      <c r="I92" s="39"/>
      <c r="J92" s="94" t="s">
        <v>779</v>
      </c>
      <c r="K92" s="95" t="s">
        <v>589</v>
      </c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spans="1:28" ht="28.5" customHeight="1" x14ac:dyDescent="0.35">
      <c r="A93" s="60">
        <f t="shared" si="4"/>
        <v>89</v>
      </c>
      <c r="B93" s="90" t="s">
        <v>780</v>
      </c>
      <c r="C93" s="90" t="s">
        <v>781</v>
      </c>
      <c r="D93" s="63">
        <v>2022</v>
      </c>
      <c r="E93" s="78">
        <v>10000000</v>
      </c>
      <c r="F93" s="63" t="s">
        <v>129</v>
      </c>
      <c r="G93" s="91" t="s">
        <v>782</v>
      </c>
      <c r="H93" s="63" t="s">
        <v>17</v>
      </c>
      <c r="I93" s="39"/>
      <c r="J93" s="96" t="s">
        <v>783</v>
      </c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spans="1:28" ht="28.5" customHeight="1" x14ac:dyDescent="0.35">
      <c r="A94" s="60">
        <f t="shared" si="4"/>
        <v>90</v>
      </c>
      <c r="B94" s="90" t="s">
        <v>784</v>
      </c>
      <c r="C94" s="90" t="s">
        <v>634</v>
      </c>
      <c r="D94" s="63">
        <v>2022</v>
      </c>
      <c r="E94" s="78">
        <v>5000000</v>
      </c>
      <c r="F94" s="63" t="s">
        <v>129</v>
      </c>
      <c r="G94" s="91" t="s">
        <v>785</v>
      </c>
      <c r="H94" s="63" t="s">
        <v>17</v>
      </c>
      <c r="I94" s="39"/>
      <c r="J94" s="97" t="s">
        <v>786</v>
      </c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spans="1:28" ht="28.5" customHeight="1" x14ac:dyDescent="0.35">
      <c r="A95" s="60">
        <f t="shared" si="4"/>
        <v>91</v>
      </c>
      <c r="B95" s="90" t="s">
        <v>787</v>
      </c>
      <c r="C95" s="90" t="s">
        <v>788</v>
      </c>
      <c r="D95" s="63">
        <v>2022</v>
      </c>
      <c r="E95" s="78">
        <v>5000000</v>
      </c>
      <c r="F95" s="63" t="s">
        <v>129</v>
      </c>
      <c r="G95" s="91" t="s">
        <v>789</v>
      </c>
      <c r="H95" s="63" t="s">
        <v>17</v>
      </c>
      <c r="I95" s="39"/>
      <c r="J95" s="97" t="s">
        <v>790</v>
      </c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spans="1:28" ht="28.5" customHeight="1" x14ac:dyDescent="0.35">
      <c r="A96" s="60">
        <f t="shared" si="4"/>
        <v>92</v>
      </c>
      <c r="B96" s="90" t="s">
        <v>791</v>
      </c>
      <c r="C96" s="90" t="s">
        <v>750</v>
      </c>
      <c r="D96" s="63">
        <v>2022</v>
      </c>
      <c r="E96" s="78">
        <v>5000000</v>
      </c>
      <c r="F96" s="63" t="s">
        <v>129</v>
      </c>
      <c r="G96" s="91" t="s">
        <v>792</v>
      </c>
      <c r="H96" s="63" t="s">
        <v>17</v>
      </c>
      <c r="I96" s="39"/>
      <c r="J96" s="94" t="s">
        <v>786</v>
      </c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spans="1:28" ht="28.5" customHeight="1" x14ac:dyDescent="0.35">
      <c r="A97" s="60">
        <f t="shared" si="4"/>
        <v>93</v>
      </c>
      <c r="B97" s="90" t="s">
        <v>793</v>
      </c>
      <c r="C97" s="90" t="s">
        <v>664</v>
      </c>
      <c r="D97" s="63">
        <v>2022</v>
      </c>
      <c r="E97" s="78">
        <v>5000000</v>
      </c>
      <c r="F97" s="63" t="s">
        <v>129</v>
      </c>
      <c r="G97" s="91" t="s">
        <v>794</v>
      </c>
      <c r="H97" s="63" t="s">
        <v>17</v>
      </c>
      <c r="I97" s="39"/>
      <c r="J97" s="94" t="s">
        <v>795</v>
      </c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spans="1:28" ht="28.5" customHeight="1" x14ac:dyDescent="0.35">
      <c r="A98" s="60">
        <f t="shared" si="4"/>
        <v>94</v>
      </c>
      <c r="B98" s="90" t="s">
        <v>796</v>
      </c>
      <c r="C98" s="90" t="s">
        <v>676</v>
      </c>
      <c r="D98" s="63">
        <v>2022</v>
      </c>
      <c r="E98" s="78">
        <v>5000000</v>
      </c>
      <c r="F98" s="63" t="s">
        <v>129</v>
      </c>
      <c r="G98" s="91" t="s">
        <v>797</v>
      </c>
      <c r="H98" s="63" t="s">
        <v>17</v>
      </c>
      <c r="I98" s="39"/>
      <c r="J98" s="97" t="s">
        <v>786</v>
      </c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spans="1:28" ht="28.5" customHeight="1" x14ac:dyDescent="0.35">
      <c r="A99" s="60">
        <f t="shared" si="4"/>
        <v>95</v>
      </c>
      <c r="B99" s="98" t="s">
        <v>798</v>
      </c>
      <c r="C99" s="98" t="s">
        <v>799</v>
      </c>
      <c r="D99" s="99">
        <v>2022</v>
      </c>
      <c r="E99" s="100">
        <v>5000000</v>
      </c>
      <c r="F99" s="63" t="s">
        <v>129</v>
      </c>
      <c r="G99" s="101" t="s">
        <v>800</v>
      </c>
      <c r="H99" s="99" t="s">
        <v>17</v>
      </c>
      <c r="I99" s="39"/>
      <c r="J99" s="97" t="s">
        <v>801</v>
      </c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spans="1:28" ht="28.5" customHeight="1" x14ac:dyDescent="0.35">
      <c r="A100" s="60">
        <f t="shared" si="4"/>
        <v>96</v>
      </c>
      <c r="B100" s="98" t="s">
        <v>802</v>
      </c>
      <c r="C100" s="98" t="s">
        <v>803</v>
      </c>
      <c r="D100" s="99">
        <v>2022</v>
      </c>
      <c r="E100" s="100">
        <v>5000000</v>
      </c>
      <c r="F100" s="63" t="s">
        <v>129</v>
      </c>
      <c r="G100" s="101" t="s">
        <v>804</v>
      </c>
      <c r="H100" s="99" t="s">
        <v>17</v>
      </c>
      <c r="I100" s="39"/>
      <c r="J100" s="94" t="s">
        <v>786</v>
      </c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spans="1:28" ht="28.5" customHeight="1" x14ac:dyDescent="0.35">
      <c r="A101" s="60">
        <f t="shared" si="4"/>
        <v>97</v>
      </c>
      <c r="B101" s="98" t="s">
        <v>805</v>
      </c>
      <c r="C101" s="98" t="s">
        <v>799</v>
      </c>
      <c r="D101" s="99">
        <v>2022</v>
      </c>
      <c r="E101" s="100">
        <v>5000000</v>
      </c>
      <c r="F101" s="99" t="s">
        <v>129</v>
      </c>
      <c r="G101" s="101" t="s">
        <v>806</v>
      </c>
      <c r="H101" s="99" t="s">
        <v>17</v>
      </c>
      <c r="I101" s="39"/>
      <c r="J101" s="94" t="s">
        <v>786</v>
      </c>
      <c r="K101" s="39"/>
      <c r="L101" s="39"/>
      <c r="M101" s="39"/>
      <c r="N101" s="39"/>
      <c r="O101" s="39"/>
      <c r="P101" s="39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</row>
    <row r="102" spans="1:28" ht="28.5" customHeight="1" x14ac:dyDescent="0.35">
      <c r="A102" s="60">
        <f t="shared" si="4"/>
        <v>98</v>
      </c>
      <c r="B102" s="98" t="s">
        <v>807</v>
      </c>
      <c r="C102" s="98" t="s">
        <v>625</v>
      </c>
      <c r="D102" s="99">
        <v>2022</v>
      </c>
      <c r="E102" s="100">
        <v>5000000</v>
      </c>
      <c r="F102" s="99" t="s">
        <v>129</v>
      </c>
      <c r="G102" s="101" t="s">
        <v>808</v>
      </c>
      <c r="H102" s="99" t="s">
        <v>17</v>
      </c>
      <c r="I102" s="39"/>
      <c r="J102" s="102" t="s">
        <v>809</v>
      </c>
      <c r="K102" s="39"/>
      <c r="L102" s="39"/>
      <c r="M102" s="39"/>
      <c r="N102" s="39"/>
      <c r="O102" s="39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</row>
    <row r="103" spans="1:28" ht="28.5" customHeight="1" x14ac:dyDescent="0.35">
      <c r="A103" s="60">
        <f t="shared" si="4"/>
        <v>99</v>
      </c>
      <c r="B103" s="98" t="s">
        <v>810</v>
      </c>
      <c r="C103" s="98" t="s">
        <v>735</v>
      </c>
      <c r="D103" s="99">
        <v>2022</v>
      </c>
      <c r="E103" s="100">
        <v>5000000</v>
      </c>
      <c r="F103" s="99" t="s">
        <v>129</v>
      </c>
      <c r="G103" s="101" t="s">
        <v>811</v>
      </c>
      <c r="H103" s="99" t="s">
        <v>17</v>
      </c>
      <c r="I103" s="39"/>
      <c r="J103" s="102" t="s">
        <v>812</v>
      </c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</row>
    <row r="104" spans="1:28" ht="28.5" customHeight="1" x14ac:dyDescent="0.35">
      <c r="A104" s="60">
        <f t="shared" si="4"/>
        <v>100</v>
      </c>
      <c r="B104" s="98" t="s">
        <v>813</v>
      </c>
      <c r="C104" s="98" t="s">
        <v>788</v>
      </c>
      <c r="D104" s="99">
        <v>2022</v>
      </c>
      <c r="E104" s="100">
        <v>5000000</v>
      </c>
      <c r="F104" s="99" t="s">
        <v>129</v>
      </c>
      <c r="G104" s="101" t="s">
        <v>814</v>
      </c>
      <c r="H104" s="99" t="s">
        <v>17</v>
      </c>
      <c r="I104" s="39"/>
      <c r="J104" s="94" t="s">
        <v>815</v>
      </c>
      <c r="K104" s="94" t="s">
        <v>589</v>
      </c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</row>
    <row r="105" spans="1:28" ht="28.5" customHeight="1" x14ac:dyDescent="0.35">
      <c r="A105" s="60">
        <f t="shared" si="4"/>
        <v>101</v>
      </c>
      <c r="B105" s="98" t="s">
        <v>816</v>
      </c>
      <c r="C105" s="98" t="s">
        <v>803</v>
      </c>
      <c r="D105" s="99">
        <v>2022</v>
      </c>
      <c r="E105" s="100">
        <v>5000000</v>
      </c>
      <c r="F105" s="99" t="s">
        <v>129</v>
      </c>
      <c r="G105" s="101" t="s">
        <v>817</v>
      </c>
      <c r="H105" s="99" t="s">
        <v>17</v>
      </c>
      <c r="I105" s="39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</row>
    <row r="106" spans="1:28" ht="28.5" customHeight="1" x14ac:dyDescent="0.35">
      <c r="A106" s="60">
        <f t="shared" si="4"/>
        <v>102</v>
      </c>
      <c r="B106" s="98" t="s">
        <v>818</v>
      </c>
      <c r="C106" s="98" t="s">
        <v>750</v>
      </c>
      <c r="D106" s="99">
        <v>2022</v>
      </c>
      <c r="E106" s="100">
        <v>5000000</v>
      </c>
      <c r="F106" s="99" t="s">
        <v>129</v>
      </c>
      <c r="G106" s="101" t="s">
        <v>819</v>
      </c>
      <c r="H106" s="99" t="s">
        <v>17</v>
      </c>
      <c r="I106" s="39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</row>
    <row r="107" spans="1:28" ht="28.5" customHeight="1" x14ac:dyDescent="0.35">
      <c r="A107" s="60">
        <f t="shared" si="4"/>
        <v>103</v>
      </c>
      <c r="B107" s="98" t="s">
        <v>820</v>
      </c>
      <c r="C107" s="98" t="s">
        <v>821</v>
      </c>
      <c r="D107" s="99">
        <v>2022</v>
      </c>
      <c r="E107" s="100">
        <v>5000000</v>
      </c>
      <c r="F107" s="99" t="s">
        <v>129</v>
      </c>
      <c r="G107" s="101" t="s">
        <v>822</v>
      </c>
      <c r="H107" s="99" t="s">
        <v>17</v>
      </c>
      <c r="I107" s="39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</row>
    <row r="108" spans="1:28" ht="28.5" customHeight="1" x14ac:dyDescent="0.35">
      <c r="A108" s="60">
        <f t="shared" si="4"/>
        <v>104</v>
      </c>
      <c r="B108" s="98" t="s">
        <v>823</v>
      </c>
      <c r="C108" s="98" t="s">
        <v>824</v>
      </c>
      <c r="D108" s="99">
        <v>2022</v>
      </c>
      <c r="E108" s="100">
        <v>5000000</v>
      </c>
      <c r="F108" s="99" t="s">
        <v>129</v>
      </c>
      <c r="G108" s="101" t="s">
        <v>825</v>
      </c>
      <c r="H108" s="99" t="s">
        <v>17</v>
      </c>
      <c r="I108" s="39"/>
      <c r="J108" s="96" t="s">
        <v>783</v>
      </c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</row>
    <row r="109" spans="1:28" ht="28.5" customHeight="1" x14ac:dyDescent="0.35">
      <c r="A109" s="60">
        <f t="shared" si="4"/>
        <v>105</v>
      </c>
      <c r="B109" s="98" t="s">
        <v>826</v>
      </c>
      <c r="C109" s="98" t="s">
        <v>678</v>
      </c>
      <c r="D109" s="99">
        <v>2022</v>
      </c>
      <c r="E109" s="100">
        <v>10000000</v>
      </c>
      <c r="F109" s="99" t="s">
        <v>129</v>
      </c>
      <c r="G109" s="101" t="s">
        <v>827</v>
      </c>
      <c r="H109" s="99" t="s">
        <v>17</v>
      </c>
      <c r="I109" s="39"/>
      <c r="J109" s="94"/>
      <c r="K109" s="94" t="s">
        <v>828</v>
      </c>
      <c r="L109" s="94" t="s">
        <v>829</v>
      </c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</row>
    <row r="110" spans="1:28" ht="28.5" customHeight="1" x14ac:dyDescent="0.35">
      <c r="A110" s="60">
        <f t="shared" si="4"/>
        <v>106</v>
      </c>
      <c r="B110" s="98" t="s">
        <v>830</v>
      </c>
      <c r="C110" s="98" t="s">
        <v>750</v>
      </c>
      <c r="D110" s="99">
        <v>2022</v>
      </c>
      <c r="E110" s="100">
        <v>5000000</v>
      </c>
      <c r="F110" s="99" t="s">
        <v>129</v>
      </c>
      <c r="G110" s="101" t="s">
        <v>831</v>
      </c>
      <c r="H110" s="99" t="s">
        <v>17</v>
      </c>
      <c r="I110" s="39"/>
      <c r="J110" s="94"/>
      <c r="K110" s="94" t="s">
        <v>832</v>
      </c>
      <c r="L110" s="94" t="s">
        <v>829</v>
      </c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</row>
    <row r="111" spans="1:28" ht="28.5" customHeight="1" x14ac:dyDescent="0.35">
      <c r="A111" s="60">
        <f t="shared" si="4"/>
        <v>107</v>
      </c>
      <c r="B111" s="98" t="s">
        <v>833</v>
      </c>
      <c r="C111" s="98" t="s">
        <v>660</v>
      </c>
      <c r="D111" s="99">
        <v>2022</v>
      </c>
      <c r="E111" s="100">
        <v>5000000</v>
      </c>
      <c r="F111" s="99" t="s">
        <v>129</v>
      </c>
      <c r="G111" s="101" t="s">
        <v>834</v>
      </c>
      <c r="H111" s="99" t="s">
        <v>17</v>
      </c>
      <c r="I111" s="39"/>
      <c r="J111" s="94"/>
      <c r="K111" s="94" t="s">
        <v>828</v>
      </c>
      <c r="L111" s="94" t="s">
        <v>829</v>
      </c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</row>
    <row r="112" spans="1:28" ht="28.5" customHeight="1" x14ac:dyDescent="0.35">
      <c r="A112" s="60">
        <f t="shared" si="4"/>
        <v>108</v>
      </c>
      <c r="B112" s="98" t="s">
        <v>835</v>
      </c>
      <c r="C112" s="98" t="s">
        <v>674</v>
      </c>
      <c r="D112" s="99">
        <v>2022</v>
      </c>
      <c r="E112" s="100">
        <v>10000000</v>
      </c>
      <c r="F112" s="99" t="s">
        <v>129</v>
      </c>
      <c r="G112" s="101" t="s">
        <v>836</v>
      </c>
      <c r="H112" s="99" t="s">
        <v>17</v>
      </c>
      <c r="I112" s="39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</row>
    <row r="113" spans="1:28" ht="28.5" customHeight="1" x14ac:dyDescent="0.35">
      <c r="A113" s="60">
        <f t="shared" si="4"/>
        <v>109</v>
      </c>
      <c r="B113" s="98" t="s">
        <v>837</v>
      </c>
      <c r="C113" s="98" t="s">
        <v>709</v>
      </c>
      <c r="D113" s="99">
        <v>2022</v>
      </c>
      <c r="E113" s="100">
        <v>5000000</v>
      </c>
      <c r="F113" s="99" t="s">
        <v>129</v>
      </c>
      <c r="G113" s="101" t="s">
        <v>838</v>
      </c>
      <c r="H113" s="99" t="s">
        <v>17</v>
      </c>
      <c r="I113" s="39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</row>
    <row r="114" spans="1:28" ht="28.5" customHeight="1" x14ac:dyDescent="0.35">
      <c r="A114" s="60">
        <f t="shared" si="4"/>
        <v>110</v>
      </c>
      <c r="B114" s="98" t="s">
        <v>839</v>
      </c>
      <c r="C114" s="98" t="s">
        <v>709</v>
      </c>
      <c r="D114" s="99">
        <v>2022</v>
      </c>
      <c r="E114" s="100">
        <v>5000000</v>
      </c>
      <c r="F114" s="99" t="s">
        <v>129</v>
      </c>
      <c r="G114" s="101" t="s">
        <v>840</v>
      </c>
      <c r="H114" s="99" t="s">
        <v>17</v>
      </c>
      <c r="I114" s="39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</row>
    <row r="115" spans="1:28" ht="28.5" customHeight="1" x14ac:dyDescent="0.35">
      <c r="A115" s="60">
        <f t="shared" si="4"/>
        <v>111</v>
      </c>
      <c r="B115" s="98" t="s">
        <v>841</v>
      </c>
      <c r="C115" s="98" t="s">
        <v>709</v>
      </c>
      <c r="D115" s="99">
        <v>2022</v>
      </c>
      <c r="E115" s="100">
        <v>5000000</v>
      </c>
      <c r="F115" s="99" t="s">
        <v>129</v>
      </c>
      <c r="G115" s="101" t="s">
        <v>842</v>
      </c>
      <c r="H115" s="99" t="s">
        <v>17</v>
      </c>
      <c r="I115" s="39"/>
      <c r="J115" s="94"/>
      <c r="K115" s="94"/>
      <c r="L115" s="94"/>
      <c r="M115" s="94"/>
      <c r="N115" s="94"/>
      <c r="O115" s="94"/>
      <c r="P115" s="94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28.5" customHeight="1" x14ac:dyDescent="0.35">
      <c r="A116" s="60">
        <f t="shared" si="4"/>
        <v>112</v>
      </c>
      <c r="B116" s="98" t="s">
        <v>843</v>
      </c>
      <c r="C116" s="98" t="s">
        <v>674</v>
      </c>
      <c r="D116" s="99">
        <v>2022</v>
      </c>
      <c r="E116" s="100">
        <v>5000000</v>
      </c>
      <c r="F116" s="99" t="s">
        <v>129</v>
      </c>
      <c r="G116" s="101" t="s">
        <v>844</v>
      </c>
      <c r="H116" s="99" t="s">
        <v>17</v>
      </c>
      <c r="I116" s="39"/>
      <c r="J116" s="39" t="s">
        <v>845</v>
      </c>
      <c r="K116" s="94"/>
      <c r="L116" s="94"/>
      <c r="M116" s="94"/>
      <c r="N116" s="94"/>
      <c r="O116" s="94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28.5" customHeight="1" x14ac:dyDescent="0.35">
      <c r="A117" s="60">
        <f t="shared" si="4"/>
        <v>113</v>
      </c>
      <c r="B117" s="98" t="s">
        <v>846</v>
      </c>
      <c r="C117" s="98" t="s">
        <v>717</v>
      </c>
      <c r="D117" s="99">
        <v>2022</v>
      </c>
      <c r="E117" s="100">
        <v>5000000</v>
      </c>
      <c r="F117" s="99" t="s">
        <v>129</v>
      </c>
      <c r="G117" s="101" t="s">
        <v>847</v>
      </c>
      <c r="H117" s="99" t="s">
        <v>17</v>
      </c>
      <c r="I117" s="39"/>
      <c r="J117" s="39" t="s">
        <v>848</v>
      </c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28.5" customHeight="1" x14ac:dyDescent="0.35">
      <c r="A118" s="60">
        <f t="shared" si="4"/>
        <v>114</v>
      </c>
      <c r="B118" s="98" t="s">
        <v>849</v>
      </c>
      <c r="C118" s="98" t="s">
        <v>850</v>
      </c>
      <c r="D118" s="99">
        <v>2022</v>
      </c>
      <c r="E118" s="100">
        <v>5000000</v>
      </c>
      <c r="F118" s="99" t="s">
        <v>129</v>
      </c>
      <c r="G118" s="101" t="s">
        <v>851</v>
      </c>
      <c r="H118" s="99" t="s">
        <v>17</v>
      </c>
      <c r="I118" s="39"/>
      <c r="J118" s="39" t="s">
        <v>852</v>
      </c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28.5" customHeight="1" x14ac:dyDescent="0.35">
      <c r="A119" s="60">
        <f t="shared" si="4"/>
        <v>115</v>
      </c>
      <c r="B119" s="98" t="s">
        <v>853</v>
      </c>
      <c r="C119" s="98" t="s">
        <v>781</v>
      </c>
      <c r="D119" s="99">
        <v>2022</v>
      </c>
      <c r="E119" s="100">
        <v>5000000</v>
      </c>
      <c r="F119" s="99" t="s">
        <v>129</v>
      </c>
      <c r="G119" s="101" t="s">
        <v>854</v>
      </c>
      <c r="H119" s="99" t="s">
        <v>17</v>
      </c>
      <c r="I119" s="39"/>
      <c r="J119" s="39" t="s">
        <v>855</v>
      </c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28.5" customHeight="1" x14ac:dyDescent="0.35">
      <c r="A120" s="60">
        <f t="shared" si="4"/>
        <v>116</v>
      </c>
      <c r="B120" s="98" t="s">
        <v>856</v>
      </c>
      <c r="C120" s="98" t="s">
        <v>634</v>
      </c>
      <c r="D120" s="99">
        <v>2022</v>
      </c>
      <c r="E120" s="100">
        <v>10000000</v>
      </c>
      <c r="F120" s="99" t="s">
        <v>129</v>
      </c>
      <c r="G120" s="101" t="s">
        <v>857</v>
      </c>
      <c r="H120" s="99" t="s">
        <v>17</v>
      </c>
      <c r="I120" s="39"/>
      <c r="J120" s="39" t="s">
        <v>852</v>
      </c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28.5" customHeight="1" x14ac:dyDescent="0.35">
      <c r="A121" s="60">
        <f t="shared" si="4"/>
        <v>117</v>
      </c>
      <c r="B121" s="98" t="s">
        <v>858</v>
      </c>
      <c r="C121" s="98" t="s">
        <v>660</v>
      </c>
      <c r="D121" s="99">
        <v>2022</v>
      </c>
      <c r="E121" s="100">
        <v>5000000</v>
      </c>
      <c r="F121" s="99" t="s">
        <v>129</v>
      </c>
      <c r="G121" s="101" t="s">
        <v>859</v>
      </c>
      <c r="H121" s="99" t="s">
        <v>17</v>
      </c>
      <c r="I121" s="39"/>
      <c r="J121" s="39" t="s">
        <v>860</v>
      </c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28.5" customHeight="1" x14ac:dyDescent="0.35">
      <c r="A122" s="60">
        <f t="shared" si="4"/>
        <v>118</v>
      </c>
      <c r="B122" s="98" t="s">
        <v>861</v>
      </c>
      <c r="C122" s="98" t="s">
        <v>602</v>
      </c>
      <c r="D122" s="99">
        <v>2022</v>
      </c>
      <c r="E122" s="100">
        <v>5000000</v>
      </c>
      <c r="F122" s="99" t="s">
        <v>129</v>
      </c>
      <c r="G122" s="101" t="s">
        <v>862</v>
      </c>
      <c r="H122" s="99" t="s">
        <v>17</v>
      </c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ht="28.5" customHeight="1" x14ac:dyDescent="0.35">
      <c r="A123" s="60">
        <f t="shared" si="4"/>
        <v>119</v>
      </c>
      <c r="B123" s="98" t="s">
        <v>863</v>
      </c>
      <c r="C123" s="98" t="s">
        <v>788</v>
      </c>
      <c r="D123" s="99">
        <v>2022</v>
      </c>
      <c r="E123" s="100">
        <v>5000000</v>
      </c>
      <c r="F123" s="99" t="s">
        <v>129</v>
      </c>
      <c r="G123" s="101" t="s">
        <v>864</v>
      </c>
      <c r="H123" s="99" t="s">
        <v>17</v>
      </c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 ht="28.5" customHeight="1" x14ac:dyDescent="0.35">
      <c r="A124" s="60">
        <f t="shared" si="4"/>
        <v>120</v>
      </c>
      <c r="B124" s="103" t="s">
        <v>865</v>
      </c>
      <c r="C124" s="103" t="s">
        <v>821</v>
      </c>
      <c r="D124" s="104">
        <v>2022</v>
      </c>
      <c r="E124" s="100">
        <v>5000000</v>
      </c>
      <c r="F124" s="99" t="s">
        <v>129</v>
      </c>
      <c r="G124" s="105" t="s">
        <v>866</v>
      </c>
      <c r="H124" s="104" t="s">
        <v>17</v>
      </c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 ht="28.5" customHeight="1" x14ac:dyDescent="0.35">
      <c r="A125" s="60">
        <v>1</v>
      </c>
      <c r="B125" s="90" t="s">
        <v>867</v>
      </c>
      <c r="C125" s="106" t="s">
        <v>868</v>
      </c>
      <c r="D125" s="107">
        <v>2023</v>
      </c>
      <c r="E125" s="78">
        <v>128200000</v>
      </c>
      <c r="F125" s="88" t="s">
        <v>589</v>
      </c>
      <c r="G125" s="91" t="s">
        <v>869</v>
      </c>
      <c r="H125" s="104" t="s">
        <v>17</v>
      </c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 ht="28.5" customHeight="1" x14ac:dyDescent="0.35">
      <c r="A126" s="60">
        <f t="shared" ref="A126:A189" si="5">A125+1</f>
        <v>2</v>
      </c>
      <c r="B126" s="90" t="s">
        <v>870</v>
      </c>
      <c r="C126" s="108" t="s">
        <v>871</v>
      </c>
      <c r="D126" s="107">
        <v>2023</v>
      </c>
      <c r="E126" s="78">
        <v>28400000</v>
      </c>
      <c r="F126" s="89" t="s">
        <v>589</v>
      </c>
      <c r="G126" s="109" t="s">
        <v>872</v>
      </c>
      <c r="H126" s="104" t="s">
        <v>17</v>
      </c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 ht="28.5" customHeight="1" x14ac:dyDescent="0.35">
      <c r="A127" s="60">
        <f t="shared" si="5"/>
        <v>3</v>
      </c>
      <c r="B127" s="72" t="s">
        <v>873</v>
      </c>
      <c r="C127" s="90" t="s">
        <v>874</v>
      </c>
      <c r="D127" s="107">
        <v>2023</v>
      </c>
      <c r="E127" s="78">
        <v>55500000</v>
      </c>
      <c r="F127" s="89" t="s">
        <v>589</v>
      </c>
      <c r="G127" s="108" t="s">
        <v>603</v>
      </c>
      <c r="H127" s="104" t="s">
        <v>17</v>
      </c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 ht="28.5" customHeight="1" x14ac:dyDescent="0.35">
      <c r="A128" s="60">
        <f t="shared" si="5"/>
        <v>4</v>
      </c>
      <c r="B128" s="90" t="s">
        <v>875</v>
      </c>
      <c r="C128" s="108" t="s">
        <v>876</v>
      </c>
      <c r="D128" s="107">
        <v>2023</v>
      </c>
      <c r="E128" s="78">
        <v>120100000</v>
      </c>
      <c r="F128" s="63" t="s">
        <v>877</v>
      </c>
      <c r="G128" s="91" t="s">
        <v>878</v>
      </c>
      <c r="H128" s="104" t="s">
        <v>17</v>
      </c>
      <c r="I128" s="94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 ht="28.5" customHeight="1" x14ac:dyDescent="0.35">
      <c r="A129" s="60">
        <f t="shared" si="5"/>
        <v>5</v>
      </c>
      <c r="B129" s="106" t="s">
        <v>879</v>
      </c>
      <c r="C129" s="106" t="s">
        <v>880</v>
      </c>
      <c r="D129" s="107">
        <v>2023</v>
      </c>
      <c r="E129" s="78">
        <v>29900000</v>
      </c>
      <c r="F129" s="89" t="s">
        <v>589</v>
      </c>
      <c r="G129" s="110" t="s">
        <v>881</v>
      </c>
      <c r="H129" s="104" t="s">
        <v>17</v>
      </c>
      <c r="I129" s="94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 ht="28.5" customHeight="1" x14ac:dyDescent="0.35">
      <c r="A130" s="60">
        <f t="shared" si="5"/>
        <v>6</v>
      </c>
      <c r="B130" s="90" t="s">
        <v>882</v>
      </c>
      <c r="C130" s="108" t="s">
        <v>883</v>
      </c>
      <c r="D130" s="107">
        <v>2023</v>
      </c>
      <c r="E130" s="78">
        <v>58800000</v>
      </c>
      <c r="F130" s="89" t="s">
        <v>589</v>
      </c>
      <c r="G130" s="109" t="s">
        <v>884</v>
      </c>
      <c r="H130" s="104" t="s">
        <v>17</v>
      </c>
      <c r="I130" s="94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 ht="28.5" customHeight="1" x14ac:dyDescent="0.35">
      <c r="A131" s="60">
        <f t="shared" si="5"/>
        <v>7</v>
      </c>
      <c r="B131" s="90" t="s">
        <v>885</v>
      </c>
      <c r="C131" s="108" t="s">
        <v>883</v>
      </c>
      <c r="D131" s="107">
        <v>2023</v>
      </c>
      <c r="E131" s="78">
        <v>27700000</v>
      </c>
      <c r="F131" s="89" t="s">
        <v>589</v>
      </c>
      <c r="G131" s="109" t="s">
        <v>886</v>
      </c>
      <c r="H131" s="104" t="s">
        <v>17</v>
      </c>
      <c r="I131" s="94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 ht="28.5" customHeight="1" x14ac:dyDescent="0.35">
      <c r="A132" s="60">
        <f t="shared" si="5"/>
        <v>8</v>
      </c>
      <c r="B132" s="90" t="s">
        <v>887</v>
      </c>
      <c r="C132" s="108" t="s">
        <v>883</v>
      </c>
      <c r="D132" s="107">
        <v>2023</v>
      </c>
      <c r="E132" s="78">
        <v>121000000</v>
      </c>
      <c r="F132" s="89" t="s">
        <v>589</v>
      </c>
      <c r="G132" s="109" t="s">
        <v>888</v>
      </c>
      <c r="H132" s="104" t="s">
        <v>17</v>
      </c>
      <c r="I132" s="94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 ht="28.5" customHeight="1" x14ac:dyDescent="0.35">
      <c r="A133" s="60">
        <f t="shared" si="5"/>
        <v>9</v>
      </c>
      <c r="B133" s="90" t="s">
        <v>889</v>
      </c>
      <c r="C133" s="106" t="s">
        <v>890</v>
      </c>
      <c r="D133" s="107">
        <v>2023</v>
      </c>
      <c r="E133" s="78">
        <v>28500000</v>
      </c>
      <c r="F133" s="89" t="s">
        <v>589</v>
      </c>
      <c r="G133" s="109" t="s">
        <v>891</v>
      </c>
      <c r="H133" s="104" t="s">
        <v>17</v>
      </c>
      <c r="I133" s="94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 ht="28.5" customHeight="1" x14ac:dyDescent="0.35">
      <c r="A134" s="60">
        <f t="shared" si="5"/>
        <v>10</v>
      </c>
      <c r="B134" s="90" t="s">
        <v>892</v>
      </c>
      <c r="C134" s="106" t="s">
        <v>890</v>
      </c>
      <c r="D134" s="107">
        <v>2023</v>
      </c>
      <c r="E134" s="78">
        <v>43200000</v>
      </c>
      <c r="F134" s="89" t="s">
        <v>589</v>
      </c>
      <c r="G134" s="109" t="s">
        <v>893</v>
      </c>
      <c r="H134" s="104" t="s">
        <v>17</v>
      </c>
      <c r="I134" s="94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 ht="28.5" customHeight="1" x14ac:dyDescent="0.35">
      <c r="A135" s="60">
        <f t="shared" si="5"/>
        <v>11</v>
      </c>
      <c r="B135" s="90" t="s">
        <v>894</v>
      </c>
      <c r="C135" s="108" t="s">
        <v>895</v>
      </c>
      <c r="D135" s="107">
        <v>2023</v>
      </c>
      <c r="E135" s="78">
        <v>29900000</v>
      </c>
      <c r="F135" s="89" t="s">
        <v>589</v>
      </c>
      <c r="G135" s="109" t="s">
        <v>896</v>
      </c>
      <c r="H135" s="104" t="s">
        <v>17</v>
      </c>
      <c r="I135" s="94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 ht="28.5" customHeight="1" x14ac:dyDescent="0.35">
      <c r="A136" s="60">
        <f t="shared" si="5"/>
        <v>12</v>
      </c>
      <c r="B136" s="90" t="s">
        <v>897</v>
      </c>
      <c r="C136" s="108" t="s">
        <v>895</v>
      </c>
      <c r="D136" s="107">
        <v>2023</v>
      </c>
      <c r="E136" s="78">
        <v>27700000</v>
      </c>
      <c r="F136" s="89" t="s">
        <v>589</v>
      </c>
      <c r="G136" s="109" t="s">
        <v>898</v>
      </c>
      <c r="H136" s="104" t="s">
        <v>17</v>
      </c>
      <c r="I136" s="94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 ht="28.5" customHeight="1" x14ac:dyDescent="0.35">
      <c r="A137" s="60">
        <f t="shared" si="5"/>
        <v>13</v>
      </c>
      <c r="B137" s="90" t="s">
        <v>899</v>
      </c>
      <c r="C137" s="106" t="s">
        <v>900</v>
      </c>
      <c r="D137" s="107">
        <v>2023</v>
      </c>
      <c r="E137" s="78">
        <v>27000000</v>
      </c>
      <c r="F137" s="89" t="s">
        <v>589</v>
      </c>
      <c r="G137" s="111" t="s">
        <v>603</v>
      </c>
      <c r="H137" s="104" t="s">
        <v>17</v>
      </c>
      <c r="I137" s="94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 ht="28.5" customHeight="1" x14ac:dyDescent="0.35">
      <c r="A138" s="60">
        <f t="shared" si="5"/>
        <v>14</v>
      </c>
      <c r="B138" s="90" t="s">
        <v>901</v>
      </c>
      <c r="C138" s="108" t="s">
        <v>902</v>
      </c>
      <c r="D138" s="107">
        <v>2023</v>
      </c>
      <c r="E138" s="78">
        <v>21700000</v>
      </c>
      <c r="F138" s="89" t="s">
        <v>589</v>
      </c>
      <c r="G138" s="109" t="s">
        <v>903</v>
      </c>
      <c r="H138" s="104" t="s">
        <v>17</v>
      </c>
      <c r="I138" s="94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28.5" customHeight="1" x14ac:dyDescent="0.35">
      <c r="A139" s="60">
        <f t="shared" si="5"/>
        <v>15</v>
      </c>
      <c r="B139" s="90" t="s">
        <v>728</v>
      </c>
      <c r="C139" s="108" t="s">
        <v>904</v>
      </c>
      <c r="D139" s="107">
        <v>2023</v>
      </c>
      <c r="E139" s="78">
        <v>151320000</v>
      </c>
      <c r="F139" s="89" t="s">
        <v>589</v>
      </c>
      <c r="G139" s="91" t="s">
        <v>905</v>
      </c>
      <c r="H139" s="104" t="s">
        <v>17</v>
      </c>
      <c r="I139" s="94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28.5" customHeight="1" x14ac:dyDescent="0.35">
      <c r="A140" s="60">
        <f t="shared" si="5"/>
        <v>16</v>
      </c>
      <c r="B140" s="90" t="s">
        <v>906</v>
      </c>
      <c r="C140" s="108" t="s">
        <v>907</v>
      </c>
      <c r="D140" s="107">
        <v>2023</v>
      </c>
      <c r="E140" s="78">
        <v>139900000</v>
      </c>
      <c r="F140" s="89" t="s">
        <v>589</v>
      </c>
      <c r="G140" s="91" t="s">
        <v>908</v>
      </c>
      <c r="H140" s="104" t="s">
        <v>17</v>
      </c>
      <c r="I140" s="94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28.5" customHeight="1" x14ac:dyDescent="0.35">
      <c r="A141" s="60">
        <f t="shared" si="5"/>
        <v>17</v>
      </c>
      <c r="B141" s="90" t="s">
        <v>909</v>
      </c>
      <c r="C141" s="108" t="s">
        <v>910</v>
      </c>
      <c r="D141" s="107">
        <v>2023</v>
      </c>
      <c r="E141" s="78">
        <v>75000000</v>
      </c>
      <c r="F141" s="89" t="s">
        <v>589</v>
      </c>
      <c r="G141" s="91" t="s">
        <v>911</v>
      </c>
      <c r="H141" s="104" t="s">
        <v>17</v>
      </c>
      <c r="I141" s="94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28.5" customHeight="1" x14ac:dyDescent="0.35">
      <c r="A142" s="60">
        <f t="shared" si="5"/>
        <v>18</v>
      </c>
      <c r="B142" s="90" t="s">
        <v>912</v>
      </c>
      <c r="C142" s="108" t="s">
        <v>910</v>
      </c>
      <c r="D142" s="107">
        <v>2023</v>
      </c>
      <c r="E142" s="78">
        <v>155800000</v>
      </c>
      <c r="F142" s="89" t="s">
        <v>597</v>
      </c>
      <c r="G142" s="109" t="s">
        <v>913</v>
      </c>
      <c r="H142" s="104" t="s">
        <v>17</v>
      </c>
      <c r="I142" s="94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 ht="28.5" customHeight="1" x14ac:dyDescent="0.35">
      <c r="A143" s="60">
        <f t="shared" si="5"/>
        <v>19</v>
      </c>
      <c r="B143" s="90" t="s">
        <v>914</v>
      </c>
      <c r="C143" s="90" t="s">
        <v>915</v>
      </c>
      <c r="D143" s="107">
        <v>2023</v>
      </c>
      <c r="E143" s="78">
        <v>28200000</v>
      </c>
      <c r="F143" s="89" t="s">
        <v>589</v>
      </c>
      <c r="G143" s="109" t="s">
        <v>916</v>
      </c>
      <c r="H143" s="104" t="s">
        <v>17</v>
      </c>
      <c r="I143" s="94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 ht="28.5" customHeight="1" x14ac:dyDescent="0.35">
      <c r="A144" s="60">
        <f t="shared" si="5"/>
        <v>20</v>
      </c>
      <c r="B144" s="90" t="s">
        <v>917</v>
      </c>
      <c r="C144" s="90" t="s">
        <v>918</v>
      </c>
      <c r="D144" s="107">
        <v>2023</v>
      </c>
      <c r="E144" s="78">
        <v>27000000</v>
      </c>
      <c r="F144" s="89" t="s">
        <v>589</v>
      </c>
      <c r="G144" s="109" t="s">
        <v>919</v>
      </c>
      <c r="H144" s="104" t="s">
        <v>17</v>
      </c>
      <c r="I144" s="112">
        <v>1</v>
      </c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 ht="28.5" customHeight="1" x14ac:dyDescent="0.35">
      <c r="A145" s="60">
        <f t="shared" si="5"/>
        <v>21</v>
      </c>
      <c r="B145" s="90" t="s">
        <v>920</v>
      </c>
      <c r="C145" s="90" t="s">
        <v>921</v>
      </c>
      <c r="D145" s="107">
        <v>2023</v>
      </c>
      <c r="E145" s="78">
        <v>57200000</v>
      </c>
      <c r="F145" s="89" t="s">
        <v>589</v>
      </c>
      <c r="G145" s="109" t="s">
        <v>922</v>
      </c>
      <c r="H145" s="104" t="s">
        <v>17</v>
      </c>
      <c r="I145" s="112">
        <v>2</v>
      </c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 ht="28.5" customHeight="1" x14ac:dyDescent="0.35">
      <c r="A146" s="60">
        <f t="shared" si="5"/>
        <v>22</v>
      </c>
      <c r="B146" s="90" t="s">
        <v>923</v>
      </c>
      <c r="C146" s="90" t="s">
        <v>924</v>
      </c>
      <c r="D146" s="107">
        <v>2023</v>
      </c>
      <c r="E146" s="78">
        <v>75000000</v>
      </c>
      <c r="F146" s="89" t="s">
        <v>589</v>
      </c>
      <c r="G146" s="91" t="s">
        <v>925</v>
      </c>
      <c r="H146" s="104" t="s">
        <v>17</v>
      </c>
      <c r="I146" s="112">
        <v>3</v>
      </c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 ht="28.5" customHeight="1" x14ac:dyDescent="0.35">
      <c r="A147" s="60">
        <f t="shared" si="5"/>
        <v>23</v>
      </c>
      <c r="B147" s="90" t="s">
        <v>926</v>
      </c>
      <c r="C147" s="90" t="s">
        <v>927</v>
      </c>
      <c r="D147" s="107">
        <v>2023</v>
      </c>
      <c r="E147" s="78">
        <v>50920000</v>
      </c>
      <c r="F147" s="89" t="s">
        <v>589</v>
      </c>
      <c r="G147" s="109" t="s">
        <v>928</v>
      </c>
      <c r="H147" s="104" t="s">
        <v>17</v>
      </c>
      <c r="I147" s="112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 ht="28.5" customHeight="1" x14ac:dyDescent="0.35">
      <c r="A148" s="60">
        <f t="shared" si="5"/>
        <v>24</v>
      </c>
      <c r="B148" s="90" t="s">
        <v>929</v>
      </c>
      <c r="C148" s="90" t="s">
        <v>907</v>
      </c>
      <c r="D148" s="107">
        <v>2023</v>
      </c>
      <c r="E148" s="78">
        <v>27700000</v>
      </c>
      <c r="F148" s="89" t="s">
        <v>589</v>
      </c>
      <c r="G148" s="109" t="s">
        <v>930</v>
      </c>
      <c r="H148" s="104" t="s">
        <v>17</v>
      </c>
      <c r="I148" s="112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 ht="28.5" customHeight="1" x14ac:dyDescent="0.35">
      <c r="A149" s="60">
        <f t="shared" si="5"/>
        <v>25</v>
      </c>
      <c r="B149" s="90" t="s">
        <v>931</v>
      </c>
      <c r="C149" s="90" t="s">
        <v>932</v>
      </c>
      <c r="D149" s="107">
        <v>2023</v>
      </c>
      <c r="E149" s="100">
        <v>238095000</v>
      </c>
      <c r="F149" s="89" t="s">
        <v>597</v>
      </c>
      <c r="G149" s="101" t="s">
        <v>603</v>
      </c>
      <c r="H149" s="104" t="s">
        <v>17</v>
      </c>
      <c r="I149" s="112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 ht="28.5" customHeight="1" x14ac:dyDescent="0.35">
      <c r="A150" s="60">
        <f t="shared" si="5"/>
        <v>26</v>
      </c>
      <c r="B150" s="90" t="s">
        <v>933</v>
      </c>
      <c r="C150" s="91" t="s">
        <v>934</v>
      </c>
      <c r="D150" s="107">
        <v>2023</v>
      </c>
      <c r="E150" s="78">
        <v>134735700</v>
      </c>
      <c r="F150" s="89" t="s">
        <v>597</v>
      </c>
      <c r="G150" s="101" t="s">
        <v>603</v>
      </c>
      <c r="H150" s="104" t="s">
        <v>17</v>
      </c>
      <c r="I150" s="96" t="s">
        <v>845</v>
      </c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 ht="28.5" customHeight="1" x14ac:dyDescent="0.35">
      <c r="A151" s="60">
        <f t="shared" si="5"/>
        <v>27</v>
      </c>
      <c r="B151" s="90" t="s">
        <v>935</v>
      </c>
      <c r="C151" s="90" t="s">
        <v>850</v>
      </c>
      <c r="D151" s="107">
        <v>2023</v>
      </c>
      <c r="E151" s="78">
        <v>10000000</v>
      </c>
      <c r="F151" s="63" t="s">
        <v>129</v>
      </c>
      <c r="G151" s="101" t="s">
        <v>603</v>
      </c>
      <c r="H151" s="104" t="s">
        <v>17</v>
      </c>
      <c r="I151" s="96" t="s">
        <v>848</v>
      </c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 ht="28.5" customHeight="1" x14ac:dyDescent="0.35">
      <c r="A152" s="60">
        <f t="shared" si="5"/>
        <v>28</v>
      </c>
      <c r="B152" s="90" t="s">
        <v>936</v>
      </c>
      <c r="C152" s="90" t="s">
        <v>850</v>
      </c>
      <c r="D152" s="107">
        <v>2023</v>
      </c>
      <c r="E152" s="78">
        <v>10000000</v>
      </c>
      <c r="F152" s="63" t="s">
        <v>129</v>
      </c>
      <c r="G152" s="101" t="s">
        <v>603</v>
      </c>
      <c r="H152" s="104" t="s">
        <v>17</v>
      </c>
      <c r="I152" s="96" t="s">
        <v>937</v>
      </c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 ht="28.5" customHeight="1" x14ac:dyDescent="0.35">
      <c r="A153" s="60">
        <f t="shared" si="5"/>
        <v>29</v>
      </c>
      <c r="B153" s="90" t="s">
        <v>938</v>
      </c>
      <c r="C153" s="90" t="s">
        <v>671</v>
      </c>
      <c r="D153" s="107">
        <v>2023</v>
      </c>
      <c r="E153" s="78">
        <v>15000000</v>
      </c>
      <c r="F153" s="63" t="s">
        <v>129</v>
      </c>
      <c r="G153" s="101" t="s">
        <v>603</v>
      </c>
      <c r="H153" s="104" t="s">
        <v>17</v>
      </c>
      <c r="I153" s="96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 ht="28.5" customHeight="1" x14ac:dyDescent="0.35">
      <c r="A154" s="60">
        <f t="shared" si="5"/>
        <v>30</v>
      </c>
      <c r="B154" s="90" t="s">
        <v>939</v>
      </c>
      <c r="C154" s="90" t="s">
        <v>671</v>
      </c>
      <c r="D154" s="107">
        <v>2023</v>
      </c>
      <c r="E154" s="78">
        <v>15000000</v>
      </c>
      <c r="F154" s="63" t="s">
        <v>129</v>
      </c>
      <c r="G154" s="101" t="s">
        <v>603</v>
      </c>
      <c r="H154" s="104" t="s">
        <v>17</v>
      </c>
      <c r="I154" s="96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 ht="28.5" customHeight="1" x14ac:dyDescent="0.35">
      <c r="A155" s="60">
        <f t="shared" si="5"/>
        <v>31</v>
      </c>
      <c r="B155" s="90" t="s">
        <v>940</v>
      </c>
      <c r="C155" s="90" t="s">
        <v>671</v>
      </c>
      <c r="D155" s="107">
        <v>2023</v>
      </c>
      <c r="E155" s="78">
        <v>15000000</v>
      </c>
      <c r="F155" s="63" t="s">
        <v>129</v>
      </c>
      <c r="G155" s="101" t="s">
        <v>603</v>
      </c>
      <c r="H155" s="104" t="s">
        <v>17</v>
      </c>
      <c r="I155" s="96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 ht="28.5" customHeight="1" x14ac:dyDescent="0.35">
      <c r="A156" s="60">
        <f t="shared" si="5"/>
        <v>32</v>
      </c>
      <c r="B156" s="90" t="s">
        <v>941</v>
      </c>
      <c r="C156" s="90" t="s">
        <v>735</v>
      </c>
      <c r="D156" s="107">
        <v>2023</v>
      </c>
      <c r="E156" s="78">
        <v>10000000</v>
      </c>
      <c r="F156" s="63" t="s">
        <v>129</v>
      </c>
      <c r="G156" s="101" t="s">
        <v>603</v>
      </c>
      <c r="H156" s="104" t="s">
        <v>17</v>
      </c>
      <c r="I156" s="96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 ht="28.5" customHeight="1" x14ac:dyDescent="0.35">
      <c r="A157" s="60">
        <f t="shared" si="5"/>
        <v>33</v>
      </c>
      <c r="B157" s="90" t="s">
        <v>942</v>
      </c>
      <c r="C157" s="90" t="s">
        <v>735</v>
      </c>
      <c r="D157" s="107">
        <v>2023</v>
      </c>
      <c r="E157" s="78">
        <v>7000000</v>
      </c>
      <c r="F157" s="63" t="s">
        <v>129</v>
      </c>
      <c r="G157" s="101" t="s">
        <v>603</v>
      </c>
      <c r="H157" s="104" t="s">
        <v>17</v>
      </c>
      <c r="I157" s="96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 ht="28.5" customHeight="1" x14ac:dyDescent="0.35">
      <c r="A158" s="60">
        <f t="shared" si="5"/>
        <v>34</v>
      </c>
      <c r="B158" s="90" t="s">
        <v>943</v>
      </c>
      <c r="C158" s="90" t="s">
        <v>735</v>
      </c>
      <c r="D158" s="107">
        <v>2023</v>
      </c>
      <c r="E158" s="78">
        <v>8000000</v>
      </c>
      <c r="F158" s="63" t="s">
        <v>129</v>
      </c>
      <c r="G158" s="101" t="s">
        <v>603</v>
      </c>
      <c r="H158" s="104" t="s">
        <v>17</v>
      </c>
      <c r="I158" s="96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 ht="28.5" customHeight="1" x14ac:dyDescent="0.35">
      <c r="A159" s="60">
        <f t="shared" si="5"/>
        <v>35</v>
      </c>
      <c r="B159" s="90" t="s">
        <v>944</v>
      </c>
      <c r="C159" s="90" t="s">
        <v>945</v>
      </c>
      <c r="D159" s="107">
        <v>2023</v>
      </c>
      <c r="E159" s="78">
        <v>10000000</v>
      </c>
      <c r="F159" s="63" t="s">
        <v>129</v>
      </c>
      <c r="G159" s="101" t="s">
        <v>603</v>
      </c>
      <c r="H159" s="104" t="s">
        <v>17</v>
      </c>
      <c r="I159" s="96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 ht="28.5" customHeight="1" x14ac:dyDescent="0.35">
      <c r="A160" s="60">
        <f t="shared" si="5"/>
        <v>36</v>
      </c>
      <c r="B160" s="90" t="s">
        <v>946</v>
      </c>
      <c r="C160" s="90" t="s">
        <v>945</v>
      </c>
      <c r="D160" s="107">
        <v>2023</v>
      </c>
      <c r="E160" s="78">
        <v>20000000</v>
      </c>
      <c r="F160" s="63" t="s">
        <v>129</v>
      </c>
      <c r="G160" s="101" t="s">
        <v>603</v>
      </c>
      <c r="H160" s="104" t="s">
        <v>17</v>
      </c>
      <c r="I160" s="96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 ht="28.5" customHeight="1" x14ac:dyDescent="0.35">
      <c r="A161" s="60">
        <f t="shared" si="5"/>
        <v>37</v>
      </c>
      <c r="B161" s="90" t="s">
        <v>947</v>
      </c>
      <c r="C161" s="90" t="s">
        <v>634</v>
      </c>
      <c r="D161" s="107">
        <v>2023</v>
      </c>
      <c r="E161" s="78">
        <v>10000000</v>
      </c>
      <c r="F161" s="63" t="s">
        <v>129</v>
      </c>
      <c r="G161" s="101" t="s">
        <v>603</v>
      </c>
      <c r="H161" s="104" t="s">
        <v>17</v>
      </c>
      <c r="I161" s="96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 ht="28.5" customHeight="1" x14ac:dyDescent="0.35">
      <c r="A162" s="60">
        <f t="shared" si="5"/>
        <v>38</v>
      </c>
      <c r="B162" s="90" t="s">
        <v>948</v>
      </c>
      <c r="C162" s="90" t="s">
        <v>628</v>
      </c>
      <c r="D162" s="107">
        <v>2023</v>
      </c>
      <c r="E162" s="78">
        <v>5000000</v>
      </c>
      <c r="F162" s="63" t="s">
        <v>129</v>
      </c>
      <c r="G162" s="101" t="s">
        <v>603</v>
      </c>
      <c r="H162" s="104" t="s">
        <v>17</v>
      </c>
      <c r="I162" s="96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 ht="28.5" customHeight="1" x14ac:dyDescent="0.35">
      <c r="A163" s="60">
        <f t="shared" si="5"/>
        <v>39</v>
      </c>
      <c r="B163" s="90" t="s">
        <v>949</v>
      </c>
      <c r="C163" s="90" t="s">
        <v>628</v>
      </c>
      <c r="D163" s="107">
        <v>2023</v>
      </c>
      <c r="E163" s="78">
        <v>15000000</v>
      </c>
      <c r="F163" s="63" t="s">
        <v>129</v>
      </c>
      <c r="G163" s="101" t="s">
        <v>603</v>
      </c>
      <c r="H163" s="104" t="s">
        <v>17</v>
      </c>
      <c r="I163" s="96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 ht="28.5" customHeight="1" x14ac:dyDescent="0.35">
      <c r="A164" s="60">
        <f t="shared" si="5"/>
        <v>40</v>
      </c>
      <c r="B164" s="90" t="s">
        <v>950</v>
      </c>
      <c r="C164" s="90" t="s">
        <v>951</v>
      </c>
      <c r="D164" s="107">
        <v>2023</v>
      </c>
      <c r="E164" s="78">
        <v>10000000</v>
      </c>
      <c r="F164" s="63" t="s">
        <v>129</v>
      </c>
      <c r="G164" s="101" t="s">
        <v>603</v>
      </c>
      <c r="H164" s="104" t="s">
        <v>17</v>
      </c>
      <c r="I164" s="96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 ht="28.5" customHeight="1" x14ac:dyDescent="0.35">
      <c r="A165" s="60">
        <f t="shared" si="5"/>
        <v>41</v>
      </c>
      <c r="B165" s="90" t="s">
        <v>952</v>
      </c>
      <c r="C165" s="90" t="s">
        <v>951</v>
      </c>
      <c r="D165" s="107">
        <v>2023</v>
      </c>
      <c r="E165" s="78">
        <v>10000000</v>
      </c>
      <c r="F165" s="63" t="s">
        <v>129</v>
      </c>
      <c r="G165" s="101" t="s">
        <v>603</v>
      </c>
      <c r="H165" s="104" t="s">
        <v>17</v>
      </c>
      <c r="I165" s="96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 ht="28.5" customHeight="1" x14ac:dyDescent="0.35">
      <c r="A166" s="60">
        <f t="shared" si="5"/>
        <v>42</v>
      </c>
      <c r="B166" s="90" t="s">
        <v>953</v>
      </c>
      <c r="C166" s="90" t="s">
        <v>709</v>
      </c>
      <c r="D166" s="107">
        <v>2023</v>
      </c>
      <c r="E166" s="78">
        <v>10000000</v>
      </c>
      <c r="F166" s="63" t="s">
        <v>129</v>
      </c>
      <c r="G166" s="101" t="s">
        <v>603</v>
      </c>
      <c r="H166" s="104" t="s">
        <v>17</v>
      </c>
      <c r="I166" s="96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 ht="28.5" customHeight="1" x14ac:dyDescent="0.35">
      <c r="A167" s="60">
        <f t="shared" si="5"/>
        <v>43</v>
      </c>
      <c r="B167" s="90" t="s">
        <v>954</v>
      </c>
      <c r="C167" s="90" t="s">
        <v>709</v>
      </c>
      <c r="D167" s="107">
        <v>2023</v>
      </c>
      <c r="E167" s="78">
        <v>15000000</v>
      </c>
      <c r="F167" s="63" t="s">
        <v>129</v>
      </c>
      <c r="G167" s="101" t="s">
        <v>603</v>
      </c>
      <c r="H167" s="104" t="s">
        <v>17</v>
      </c>
      <c r="I167" s="96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 ht="28.5" customHeight="1" x14ac:dyDescent="0.35">
      <c r="A168" s="60">
        <f t="shared" si="5"/>
        <v>44</v>
      </c>
      <c r="B168" s="90" t="s">
        <v>955</v>
      </c>
      <c r="C168" s="90" t="s">
        <v>608</v>
      </c>
      <c r="D168" s="107">
        <v>2023</v>
      </c>
      <c r="E168" s="78">
        <v>15000000</v>
      </c>
      <c r="F168" s="63" t="s">
        <v>129</v>
      </c>
      <c r="G168" s="101" t="s">
        <v>603</v>
      </c>
      <c r="H168" s="104" t="s">
        <v>17</v>
      </c>
      <c r="I168" s="96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 ht="28.5" customHeight="1" x14ac:dyDescent="0.35">
      <c r="A169" s="60">
        <f t="shared" si="5"/>
        <v>45</v>
      </c>
      <c r="B169" s="90" t="s">
        <v>956</v>
      </c>
      <c r="C169" s="90" t="s">
        <v>608</v>
      </c>
      <c r="D169" s="107">
        <v>2023</v>
      </c>
      <c r="E169" s="78">
        <v>15000000</v>
      </c>
      <c r="F169" s="63" t="s">
        <v>129</v>
      </c>
      <c r="G169" s="101" t="s">
        <v>603</v>
      </c>
      <c r="H169" s="104" t="s">
        <v>17</v>
      </c>
      <c r="I169" s="96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 ht="28.5" customHeight="1" x14ac:dyDescent="0.35">
      <c r="A170" s="60">
        <f t="shared" si="5"/>
        <v>46</v>
      </c>
      <c r="B170" s="90" t="s">
        <v>957</v>
      </c>
      <c r="C170" s="90" t="s">
        <v>608</v>
      </c>
      <c r="D170" s="107">
        <v>2023</v>
      </c>
      <c r="E170" s="78">
        <v>15000000</v>
      </c>
      <c r="F170" s="63" t="s">
        <v>129</v>
      </c>
      <c r="G170" s="101" t="s">
        <v>603</v>
      </c>
      <c r="H170" s="104" t="s">
        <v>17</v>
      </c>
      <c r="I170" s="96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 ht="28.5" customHeight="1" x14ac:dyDescent="0.35">
      <c r="A171" s="60">
        <f t="shared" si="5"/>
        <v>47</v>
      </c>
      <c r="B171" s="90" t="s">
        <v>958</v>
      </c>
      <c r="C171" s="90" t="s">
        <v>608</v>
      </c>
      <c r="D171" s="107">
        <v>2023</v>
      </c>
      <c r="E171" s="78">
        <v>75000000</v>
      </c>
      <c r="F171" s="67" t="s">
        <v>589</v>
      </c>
      <c r="G171" s="101" t="s">
        <v>603</v>
      </c>
      <c r="H171" s="104" t="s">
        <v>17</v>
      </c>
      <c r="I171" s="96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 ht="28.5" customHeight="1" x14ac:dyDescent="0.35">
      <c r="A172" s="60">
        <f t="shared" si="5"/>
        <v>48</v>
      </c>
      <c r="B172" s="90" t="s">
        <v>959</v>
      </c>
      <c r="C172" s="90" t="s">
        <v>625</v>
      </c>
      <c r="D172" s="107">
        <v>2023</v>
      </c>
      <c r="E172" s="78">
        <v>2.5</v>
      </c>
      <c r="F172" s="63" t="s">
        <v>129</v>
      </c>
      <c r="G172" s="101" t="s">
        <v>603</v>
      </c>
      <c r="H172" s="104" t="s">
        <v>17</v>
      </c>
      <c r="I172" s="96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 ht="28.5" customHeight="1" x14ac:dyDescent="0.35">
      <c r="A173" s="60">
        <f t="shared" si="5"/>
        <v>49</v>
      </c>
      <c r="B173" s="90" t="s">
        <v>960</v>
      </c>
      <c r="C173" s="90" t="s">
        <v>625</v>
      </c>
      <c r="D173" s="107">
        <v>2023</v>
      </c>
      <c r="E173" s="78">
        <v>3500000</v>
      </c>
      <c r="F173" s="63" t="s">
        <v>129</v>
      </c>
      <c r="G173" s="101" t="s">
        <v>603</v>
      </c>
      <c r="H173" s="104" t="s">
        <v>17</v>
      </c>
      <c r="I173" s="96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 ht="28.5" customHeight="1" x14ac:dyDescent="0.35">
      <c r="A174" s="60">
        <f t="shared" si="5"/>
        <v>50</v>
      </c>
      <c r="B174" s="90" t="s">
        <v>961</v>
      </c>
      <c r="C174" s="90" t="s">
        <v>625</v>
      </c>
      <c r="D174" s="107">
        <v>2023</v>
      </c>
      <c r="E174" s="78">
        <v>4000000</v>
      </c>
      <c r="F174" s="63" t="s">
        <v>129</v>
      </c>
      <c r="G174" s="101" t="s">
        <v>603</v>
      </c>
      <c r="H174" s="104" t="s">
        <v>17</v>
      </c>
      <c r="I174" s="96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 ht="28.5" customHeight="1" x14ac:dyDescent="0.35">
      <c r="A175" s="60">
        <f t="shared" si="5"/>
        <v>51</v>
      </c>
      <c r="B175" s="90" t="s">
        <v>962</v>
      </c>
      <c r="C175" s="90" t="s">
        <v>625</v>
      </c>
      <c r="D175" s="107">
        <v>2023</v>
      </c>
      <c r="E175" s="78">
        <v>4000000</v>
      </c>
      <c r="F175" s="63" t="s">
        <v>129</v>
      </c>
      <c r="G175" s="101" t="s">
        <v>603</v>
      </c>
      <c r="H175" s="104" t="s">
        <v>17</v>
      </c>
      <c r="I175" s="96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 ht="28.5" customHeight="1" x14ac:dyDescent="0.35">
      <c r="A176" s="60">
        <f t="shared" si="5"/>
        <v>52</v>
      </c>
      <c r="B176" s="90" t="s">
        <v>963</v>
      </c>
      <c r="C176" s="90" t="s">
        <v>611</v>
      </c>
      <c r="D176" s="107">
        <v>2023</v>
      </c>
      <c r="E176" s="78">
        <v>10000000</v>
      </c>
      <c r="F176" s="63" t="s">
        <v>129</v>
      </c>
      <c r="G176" s="101" t="s">
        <v>603</v>
      </c>
      <c r="H176" s="104" t="s">
        <v>17</v>
      </c>
      <c r="I176" s="96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 ht="28.5" customHeight="1" x14ac:dyDescent="0.35">
      <c r="A177" s="60">
        <f t="shared" si="5"/>
        <v>53</v>
      </c>
      <c r="B177" s="90" t="s">
        <v>964</v>
      </c>
      <c r="C177" s="90" t="s">
        <v>611</v>
      </c>
      <c r="D177" s="107">
        <v>2023</v>
      </c>
      <c r="E177" s="78">
        <v>10000000</v>
      </c>
      <c r="F177" s="63" t="s">
        <v>129</v>
      </c>
      <c r="G177" s="101" t="s">
        <v>603</v>
      </c>
      <c r="H177" s="104" t="s">
        <v>17</v>
      </c>
      <c r="I177" s="96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 ht="28.5" customHeight="1" x14ac:dyDescent="0.35">
      <c r="A178" s="60">
        <f t="shared" si="5"/>
        <v>54</v>
      </c>
      <c r="B178" s="90" t="s">
        <v>965</v>
      </c>
      <c r="C178" s="90" t="s">
        <v>588</v>
      </c>
      <c r="D178" s="107">
        <v>2023</v>
      </c>
      <c r="E178" s="78">
        <v>15000000</v>
      </c>
      <c r="F178" s="63" t="s">
        <v>129</v>
      </c>
      <c r="G178" s="101" t="s">
        <v>603</v>
      </c>
      <c r="H178" s="104" t="s">
        <v>17</v>
      </c>
      <c r="I178" s="96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 ht="28.5" customHeight="1" x14ac:dyDescent="0.35">
      <c r="A179" s="60">
        <f t="shared" si="5"/>
        <v>55</v>
      </c>
      <c r="B179" s="90" t="s">
        <v>966</v>
      </c>
      <c r="C179" s="90" t="s">
        <v>781</v>
      </c>
      <c r="D179" s="107">
        <v>2023</v>
      </c>
      <c r="E179" s="78">
        <v>10000000</v>
      </c>
      <c r="F179" s="63" t="s">
        <v>129</v>
      </c>
      <c r="G179" s="101" t="s">
        <v>603</v>
      </c>
      <c r="H179" s="104" t="s">
        <v>17</v>
      </c>
      <c r="I179" s="96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 ht="28.5" customHeight="1" x14ac:dyDescent="0.35">
      <c r="A180" s="60">
        <f t="shared" si="5"/>
        <v>56</v>
      </c>
      <c r="B180" s="90" t="s">
        <v>967</v>
      </c>
      <c r="C180" s="90" t="s">
        <v>781</v>
      </c>
      <c r="D180" s="107">
        <v>2023</v>
      </c>
      <c r="E180" s="78">
        <v>15000000</v>
      </c>
      <c r="F180" s="63" t="s">
        <v>129</v>
      </c>
      <c r="G180" s="101" t="s">
        <v>603</v>
      </c>
      <c r="H180" s="104" t="s">
        <v>17</v>
      </c>
      <c r="I180" s="96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 ht="28.5" customHeight="1" x14ac:dyDescent="0.35">
      <c r="A181" s="60">
        <f t="shared" si="5"/>
        <v>57</v>
      </c>
      <c r="B181" s="90" t="s">
        <v>968</v>
      </c>
      <c r="C181" s="90" t="s">
        <v>595</v>
      </c>
      <c r="D181" s="107">
        <v>2023</v>
      </c>
      <c r="E181" s="78">
        <v>20000000</v>
      </c>
      <c r="F181" s="63" t="s">
        <v>129</v>
      </c>
      <c r="G181" s="101" t="s">
        <v>603</v>
      </c>
      <c r="H181" s="104" t="s">
        <v>17</v>
      </c>
      <c r="I181" s="96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 ht="28.5" customHeight="1" x14ac:dyDescent="0.35">
      <c r="A182" s="60">
        <f t="shared" si="5"/>
        <v>58</v>
      </c>
      <c r="B182" s="90" t="s">
        <v>969</v>
      </c>
      <c r="C182" s="90" t="s">
        <v>717</v>
      </c>
      <c r="D182" s="107">
        <v>2023</v>
      </c>
      <c r="E182" s="78">
        <v>10000000</v>
      </c>
      <c r="F182" s="63" t="s">
        <v>129</v>
      </c>
      <c r="G182" s="101" t="s">
        <v>603</v>
      </c>
      <c r="H182" s="104" t="s">
        <v>17</v>
      </c>
      <c r="I182" s="96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 ht="28.5" customHeight="1" x14ac:dyDescent="0.35">
      <c r="A183" s="60">
        <f t="shared" si="5"/>
        <v>59</v>
      </c>
      <c r="B183" s="90" t="s">
        <v>970</v>
      </c>
      <c r="C183" s="90" t="s">
        <v>971</v>
      </c>
      <c r="D183" s="107">
        <v>2023</v>
      </c>
      <c r="E183" s="78">
        <v>15000000</v>
      </c>
      <c r="F183" s="63" t="s">
        <v>129</v>
      </c>
      <c r="G183" s="101" t="s">
        <v>603</v>
      </c>
      <c r="H183" s="104" t="s">
        <v>17</v>
      </c>
      <c r="I183" s="96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 ht="28.5" customHeight="1" x14ac:dyDescent="0.35">
      <c r="A184" s="60">
        <f t="shared" si="5"/>
        <v>60</v>
      </c>
      <c r="B184" s="90" t="s">
        <v>972</v>
      </c>
      <c r="C184" s="90" t="s">
        <v>689</v>
      </c>
      <c r="D184" s="107">
        <v>2023</v>
      </c>
      <c r="E184" s="78">
        <v>15000000</v>
      </c>
      <c r="F184" s="63" t="s">
        <v>129</v>
      </c>
      <c r="G184" s="101" t="s">
        <v>603</v>
      </c>
      <c r="H184" s="104" t="s">
        <v>17</v>
      </c>
      <c r="I184" s="96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 ht="28.5" customHeight="1" x14ac:dyDescent="0.35">
      <c r="A185" s="60">
        <f t="shared" si="5"/>
        <v>61</v>
      </c>
      <c r="B185" s="90" t="s">
        <v>973</v>
      </c>
      <c r="C185" s="90" t="s">
        <v>602</v>
      </c>
      <c r="D185" s="107">
        <v>2023</v>
      </c>
      <c r="E185" s="78">
        <v>15000000</v>
      </c>
      <c r="F185" s="63" t="s">
        <v>129</v>
      </c>
      <c r="G185" s="101" t="s">
        <v>603</v>
      </c>
      <c r="H185" s="104" t="s">
        <v>17</v>
      </c>
      <c r="I185" s="96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 ht="28.5" customHeight="1" x14ac:dyDescent="0.35">
      <c r="A186" s="60">
        <f t="shared" si="5"/>
        <v>62</v>
      </c>
      <c r="B186" s="90" t="s">
        <v>974</v>
      </c>
      <c r="C186" s="90" t="s">
        <v>602</v>
      </c>
      <c r="D186" s="107">
        <v>2023</v>
      </c>
      <c r="E186" s="78">
        <v>15000000</v>
      </c>
      <c r="F186" s="63" t="s">
        <v>129</v>
      </c>
      <c r="G186" s="101" t="s">
        <v>603</v>
      </c>
      <c r="H186" s="104" t="s">
        <v>17</v>
      </c>
      <c r="I186" s="96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 ht="28.5" customHeight="1" x14ac:dyDescent="0.35">
      <c r="A187" s="60">
        <f t="shared" si="5"/>
        <v>63</v>
      </c>
      <c r="B187" s="90" t="s">
        <v>975</v>
      </c>
      <c r="C187" s="90" t="s">
        <v>602</v>
      </c>
      <c r="D187" s="107">
        <v>2023</v>
      </c>
      <c r="E187" s="78">
        <v>15000000</v>
      </c>
      <c r="F187" s="63" t="s">
        <v>129</v>
      </c>
      <c r="G187" s="101" t="s">
        <v>603</v>
      </c>
      <c r="H187" s="104" t="s">
        <v>17</v>
      </c>
      <c r="I187" s="96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 ht="28.5" customHeight="1" x14ac:dyDescent="0.35">
      <c r="A188" s="60">
        <f t="shared" si="5"/>
        <v>64</v>
      </c>
      <c r="B188" s="90" t="s">
        <v>976</v>
      </c>
      <c r="C188" s="90" t="s">
        <v>602</v>
      </c>
      <c r="D188" s="107">
        <v>2023</v>
      </c>
      <c r="E188" s="78">
        <v>15000000</v>
      </c>
      <c r="F188" s="63" t="s">
        <v>129</v>
      </c>
      <c r="G188" s="101" t="s">
        <v>603</v>
      </c>
      <c r="H188" s="104" t="s">
        <v>17</v>
      </c>
      <c r="I188" s="96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 ht="28.5" customHeight="1" x14ac:dyDescent="0.35">
      <c r="A189" s="60">
        <f t="shared" si="5"/>
        <v>65</v>
      </c>
      <c r="B189" s="90" t="s">
        <v>977</v>
      </c>
      <c r="C189" s="90" t="s">
        <v>616</v>
      </c>
      <c r="D189" s="107">
        <v>2023</v>
      </c>
      <c r="E189" s="78">
        <v>10000000</v>
      </c>
      <c r="F189" s="63" t="s">
        <v>129</v>
      </c>
      <c r="G189" s="101" t="s">
        <v>603</v>
      </c>
      <c r="H189" s="104" t="s">
        <v>17</v>
      </c>
      <c r="I189" s="96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 ht="28.5" customHeight="1" x14ac:dyDescent="0.35">
      <c r="A190" s="60">
        <f t="shared" ref="A190:A225" si="6">A189+1</f>
        <v>66</v>
      </c>
      <c r="B190" s="90" t="s">
        <v>978</v>
      </c>
      <c r="C190" s="90" t="s">
        <v>660</v>
      </c>
      <c r="D190" s="107">
        <v>2023</v>
      </c>
      <c r="E190" s="78">
        <v>62750000</v>
      </c>
      <c r="F190" s="63" t="s">
        <v>129</v>
      </c>
      <c r="G190" s="101" t="s">
        <v>603</v>
      </c>
      <c r="H190" s="104" t="s">
        <v>17</v>
      </c>
      <c r="I190" s="96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 ht="28.5" customHeight="1" x14ac:dyDescent="0.35">
      <c r="A191" s="60">
        <f t="shared" si="6"/>
        <v>67</v>
      </c>
      <c r="B191" s="90" t="s">
        <v>979</v>
      </c>
      <c r="C191" s="90" t="s">
        <v>660</v>
      </c>
      <c r="D191" s="107">
        <v>2023</v>
      </c>
      <c r="E191" s="78">
        <v>98125000</v>
      </c>
      <c r="F191" s="63" t="s">
        <v>129</v>
      </c>
      <c r="G191" s="101" t="s">
        <v>603</v>
      </c>
      <c r="H191" s="104" t="s">
        <v>17</v>
      </c>
      <c r="I191" s="96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 ht="28.5" customHeight="1" x14ac:dyDescent="0.35">
      <c r="A192" s="60">
        <f t="shared" si="6"/>
        <v>68</v>
      </c>
      <c r="B192" s="90" t="s">
        <v>980</v>
      </c>
      <c r="C192" s="90" t="s">
        <v>660</v>
      </c>
      <c r="D192" s="107">
        <v>2023</v>
      </c>
      <c r="E192" s="78">
        <v>22515000</v>
      </c>
      <c r="F192" s="63" t="s">
        <v>129</v>
      </c>
      <c r="G192" s="101" t="s">
        <v>603</v>
      </c>
      <c r="H192" s="104" t="s">
        <v>17</v>
      </c>
      <c r="I192" s="96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28.5" customHeight="1" x14ac:dyDescent="0.35">
      <c r="A193" s="60">
        <f t="shared" si="6"/>
        <v>69</v>
      </c>
      <c r="B193" s="90" t="s">
        <v>981</v>
      </c>
      <c r="C193" s="90" t="s">
        <v>660</v>
      </c>
      <c r="D193" s="107">
        <v>2023</v>
      </c>
      <c r="E193" s="78">
        <v>22600000</v>
      </c>
      <c r="F193" s="63" t="s">
        <v>129</v>
      </c>
      <c r="G193" s="101" t="s">
        <v>603</v>
      </c>
      <c r="H193" s="104" t="s">
        <v>17</v>
      </c>
      <c r="I193" s="96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 ht="28.5" customHeight="1" x14ac:dyDescent="0.35">
      <c r="A194" s="60">
        <f t="shared" si="6"/>
        <v>70</v>
      </c>
      <c r="B194" s="90" t="s">
        <v>982</v>
      </c>
      <c r="C194" s="90" t="s">
        <v>720</v>
      </c>
      <c r="D194" s="107">
        <v>2023</v>
      </c>
      <c r="E194" s="78">
        <v>20000000</v>
      </c>
      <c r="F194" s="63" t="s">
        <v>129</v>
      </c>
      <c r="G194" s="101" t="s">
        <v>603</v>
      </c>
      <c r="H194" s="104" t="s">
        <v>17</v>
      </c>
      <c r="I194" s="96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 ht="28.5" customHeight="1" x14ac:dyDescent="0.35">
      <c r="A195" s="60">
        <f t="shared" si="6"/>
        <v>71</v>
      </c>
      <c r="B195" s="90" t="s">
        <v>983</v>
      </c>
      <c r="C195" s="90" t="s">
        <v>720</v>
      </c>
      <c r="D195" s="107">
        <v>2023</v>
      </c>
      <c r="E195" s="78">
        <v>10000000</v>
      </c>
      <c r="F195" s="63" t="s">
        <v>129</v>
      </c>
      <c r="G195" s="101" t="s">
        <v>603</v>
      </c>
      <c r="H195" s="104" t="s">
        <v>17</v>
      </c>
      <c r="I195" s="96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 ht="28.5" customHeight="1" x14ac:dyDescent="0.35">
      <c r="A196" s="60">
        <f t="shared" si="6"/>
        <v>72</v>
      </c>
      <c r="B196" s="90" t="s">
        <v>984</v>
      </c>
      <c r="C196" s="90" t="s">
        <v>720</v>
      </c>
      <c r="D196" s="107">
        <v>2023</v>
      </c>
      <c r="E196" s="78">
        <v>20000000</v>
      </c>
      <c r="F196" s="63" t="s">
        <v>129</v>
      </c>
      <c r="G196" s="101" t="s">
        <v>603</v>
      </c>
      <c r="H196" s="104" t="s">
        <v>17</v>
      </c>
      <c r="I196" s="96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 ht="28.5" customHeight="1" x14ac:dyDescent="0.35">
      <c r="A197" s="60">
        <f t="shared" si="6"/>
        <v>73</v>
      </c>
      <c r="B197" s="90" t="s">
        <v>985</v>
      </c>
      <c r="C197" s="90" t="s">
        <v>803</v>
      </c>
      <c r="D197" s="107">
        <v>2023</v>
      </c>
      <c r="E197" s="78">
        <v>10000000</v>
      </c>
      <c r="F197" s="63" t="s">
        <v>129</v>
      </c>
      <c r="G197" s="101" t="s">
        <v>603</v>
      </c>
      <c r="H197" s="104" t="s">
        <v>17</v>
      </c>
      <c r="I197" s="96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 ht="28.5" customHeight="1" x14ac:dyDescent="0.35">
      <c r="A198" s="60">
        <f t="shared" si="6"/>
        <v>74</v>
      </c>
      <c r="B198" s="90" t="s">
        <v>986</v>
      </c>
      <c r="C198" s="90" t="s">
        <v>620</v>
      </c>
      <c r="D198" s="107">
        <v>2023</v>
      </c>
      <c r="E198" s="78">
        <v>12500000</v>
      </c>
      <c r="F198" s="63" t="s">
        <v>129</v>
      </c>
      <c r="G198" s="101" t="s">
        <v>603</v>
      </c>
      <c r="H198" s="104" t="s">
        <v>17</v>
      </c>
      <c r="I198" s="96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 ht="28.5" customHeight="1" x14ac:dyDescent="0.35">
      <c r="A199" s="60">
        <f t="shared" si="6"/>
        <v>75</v>
      </c>
      <c r="B199" s="90" t="s">
        <v>987</v>
      </c>
      <c r="C199" s="90" t="s">
        <v>620</v>
      </c>
      <c r="D199" s="107">
        <v>2023</v>
      </c>
      <c r="E199" s="78">
        <v>12500000</v>
      </c>
      <c r="F199" s="63" t="s">
        <v>129</v>
      </c>
      <c r="G199" s="101" t="s">
        <v>603</v>
      </c>
      <c r="H199" s="104" t="s">
        <v>17</v>
      </c>
      <c r="I199" s="96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 ht="28.5" customHeight="1" x14ac:dyDescent="0.35">
      <c r="A200" s="60">
        <f t="shared" si="6"/>
        <v>76</v>
      </c>
      <c r="B200" s="90" t="s">
        <v>988</v>
      </c>
      <c r="C200" s="90" t="s">
        <v>799</v>
      </c>
      <c r="D200" s="107">
        <v>2023</v>
      </c>
      <c r="E200" s="78">
        <v>2500000</v>
      </c>
      <c r="F200" s="63" t="s">
        <v>129</v>
      </c>
      <c r="G200" s="101" t="s">
        <v>603</v>
      </c>
      <c r="H200" s="104" t="s">
        <v>17</v>
      </c>
      <c r="I200" s="96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 ht="28.5" customHeight="1" x14ac:dyDescent="0.35">
      <c r="A201" s="60">
        <f t="shared" si="6"/>
        <v>77</v>
      </c>
      <c r="B201" s="90" t="s">
        <v>989</v>
      </c>
      <c r="C201" s="90" t="s">
        <v>799</v>
      </c>
      <c r="D201" s="107">
        <v>2023</v>
      </c>
      <c r="E201" s="78">
        <v>2500000</v>
      </c>
      <c r="F201" s="63" t="s">
        <v>129</v>
      </c>
      <c r="G201" s="101" t="s">
        <v>603</v>
      </c>
      <c r="H201" s="104" t="s">
        <v>17</v>
      </c>
      <c r="I201" s="96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spans="1:28" ht="28.5" customHeight="1" x14ac:dyDescent="0.35">
      <c r="A202" s="60">
        <f t="shared" si="6"/>
        <v>78</v>
      </c>
      <c r="B202" s="90" t="s">
        <v>990</v>
      </c>
      <c r="C202" s="90" t="s">
        <v>799</v>
      </c>
      <c r="D202" s="107">
        <v>2023</v>
      </c>
      <c r="E202" s="78">
        <v>2500000</v>
      </c>
      <c r="F202" s="63" t="s">
        <v>129</v>
      </c>
      <c r="G202" s="101" t="s">
        <v>603</v>
      </c>
      <c r="H202" s="104" t="s">
        <v>17</v>
      </c>
      <c r="I202" s="96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spans="1:28" ht="28.5" customHeight="1" x14ac:dyDescent="0.35">
      <c r="A203" s="60">
        <f t="shared" si="6"/>
        <v>79</v>
      </c>
      <c r="B203" s="90" t="s">
        <v>991</v>
      </c>
      <c r="C203" s="90" t="s">
        <v>788</v>
      </c>
      <c r="D203" s="107">
        <v>2023</v>
      </c>
      <c r="E203" s="78">
        <v>10000000</v>
      </c>
      <c r="F203" s="63" t="s">
        <v>129</v>
      </c>
      <c r="G203" s="101" t="s">
        <v>603</v>
      </c>
      <c r="H203" s="104" t="s">
        <v>17</v>
      </c>
      <c r="I203" s="96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spans="1:28" ht="28.5" customHeight="1" x14ac:dyDescent="0.35">
      <c r="A204" s="60">
        <f t="shared" si="6"/>
        <v>80</v>
      </c>
      <c r="B204" s="90" t="s">
        <v>992</v>
      </c>
      <c r="C204" s="90" t="s">
        <v>788</v>
      </c>
      <c r="D204" s="107">
        <v>2023</v>
      </c>
      <c r="E204" s="78">
        <v>10000000</v>
      </c>
      <c r="F204" s="63" t="s">
        <v>129</v>
      </c>
      <c r="G204" s="101" t="s">
        <v>603</v>
      </c>
      <c r="H204" s="104" t="s">
        <v>17</v>
      </c>
      <c r="I204" s="96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spans="1:28" ht="28.5" customHeight="1" x14ac:dyDescent="0.35">
      <c r="A205" s="60">
        <f t="shared" si="6"/>
        <v>81</v>
      </c>
      <c r="B205" s="90" t="s">
        <v>993</v>
      </c>
      <c r="C205" s="90" t="s">
        <v>994</v>
      </c>
      <c r="D205" s="107">
        <v>2023</v>
      </c>
      <c r="E205" s="78">
        <v>15000000</v>
      </c>
      <c r="F205" s="63" t="s">
        <v>129</v>
      </c>
      <c r="G205" s="101" t="s">
        <v>603</v>
      </c>
      <c r="H205" s="104" t="s">
        <v>17</v>
      </c>
      <c r="I205" s="96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spans="1:28" ht="28.5" customHeight="1" x14ac:dyDescent="0.35">
      <c r="A206" s="60">
        <f t="shared" si="6"/>
        <v>82</v>
      </c>
      <c r="B206" s="90" t="s">
        <v>995</v>
      </c>
      <c r="C206" s="90" t="s">
        <v>994</v>
      </c>
      <c r="D206" s="107">
        <v>2023</v>
      </c>
      <c r="E206" s="78">
        <v>10000000</v>
      </c>
      <c r="F206" s="63" t="s">
        <v>129</v>
      </c>
      <c r="G206" s="101" t="s">
        <v>603</v>
      </c>
      <c r="H206" s="104" t="s">
        <v>17</v>
      </c>
      <c r="I206" s="96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spans="1:28" ht="28.5" customHeight="1" x14ac:dyDescent="0.35">
      <c r="A207" s="60">
        <f t="shared" si="6"/>
        <v>83</v>
      </c>
      <c r="B207" s="90" t="s">
        <v>996</v>
      </c>
      <c r="C207" s="90" t="s">
        <v>674</v>
      </c>
      <c r="D207" s="107">
        <v>2023</v>
      </c>
      <c r="E207" s="78">
        <v>12000000</v>
      </c>
      <c r="F207" s="63" t="s">
        <v>129</v>
      </c>
      <c r="G207" s="101" t="s">
        <v>603</v>
      </c>
      <c r="H207" s="104" t="s">
        <v>17</v>
      </c>
      <c r="I207" s="96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spans="1:28" ht="28.5" customHeight="1" x14ac:dyDescent="0.35">
      <c r="A208" s="60">
        <f t="shared" si="6"/>
        <v>84</v>
      </c>
      <c r="B208" s="90" t="s">
        <v>997</v>
      </c>
      <c r="C208" s="90" t="s">
        <v>998</v>
      </c>
      <c r="D208" s="107">
        <v>2023</v>
      </c>
      <c r="E208" s="78">
        <v>27000000</v>
      </c>
      <c r="F208" s="67" t="s">
        <v>589</v>
      </c>
      <c r="G208" s="101" t="s">
        <v>603</v>
      </c>
      <c r="H208" s="104" t="s">
        <v>17</v>
      </c>
      <c r="I208" s="96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spans="1:28" ht="28.5" customHeight="1" x14ac:dyDescent="0.35">
      <c r="A209" s="60">
        <f t="shared" si="6"/>
        <v>85</v>
      </c>
      <c r="B209" s="90" t="s">
        <v>999</v>
      </c>
      <c r="C209" s="90" t="s">
        <v>676</v>
      </c>
      <c r="D209" s="107">
        <v>2023</v>
      </c>
      <c r="E209" s="78">
        <v>15000000</v>
      </c>
      <c r="F209" s="63" t="s">
        <v>129</v>
      </c>
      <c r="G209" s="101" t="s">
        <v>603</v>
      </c>
      <c r="H209" s="104" t="s">
        <v>17</v>
      </c>
      <c r="I209" s="96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spans="1:28" ht="28.5" customHeight="1" x14ac:dyDescent="0.35">
      <c r="A210" s="60">
        <f t="shared" si="6"/>
        <v>86</v>
      </c>
      <c r="B210" s="90" t="s">
        <v>1000</v>
      </c>
      <c r="C210" s="90" t="s">
        <v>676</v>
      </c>
      <c r="D210" s="107">
        <v>2023</v>
      </c>
      <c r="E210" s="78">
        <v>15000000</v>
      </c>
      <c r="F210" s="63" t="s">
        <v>129</v>
      </c>
      <c r="G210" s="101" t="s">
        <v>603</v>
      </c>
      <c r="H210" s="104" t="s">
        <v>17</v>
      </c>
      <c r="I210" s="96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spans="1:28" ht="28.5" customHeight="1" x14ac:dyDescent="0.35">
      <c r="A211" s="60">
        <f t="shared" si="6"/>
        <v>87</v>
      </c>
      <c r="B211" s="90" t="s">
        <v>1001</v>
      </c>
      <c r="C211" s="90" t="s">
        <v>1002</v>
      </c>
      <c r="D211" s="107">
        <v>2024</v>
      </c>
      <c r="E211" s="78">
        <v>250000000</v>
      </c>
      <c r="F211" s="89" t="s">
        <v>597</v>
      </c>
      <c r="G211" s="101" t="s">
        <v>603</v>
      </c>
      <c r="H211" s="104" t="s">
        <v>17</v>
      </c>
      <c r="I211" s="96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spans="1:28" ht="28.5" customHeight="1" x14ac:dyDescent="0.35">
      <c r="A212" s="60">
        <f t="shared" si="6"/>
        <v>88</v>
      </c>
      <c r="B212" s="90" t="s">
        <v>1003</v>
      </c>
      <c r="C212" s="90" t="s">
        <v>1002</v>
      </c>
      <c r="D212" s="107">
        <v>2024</v>
      </c>
      <c r="E212" s="78">
        <v>431722500</v>
      </c>
      <c r="F212" s="89" t="s">
        <v>597</v>
      </c>
      <c r="G212" s="101" t="s">
        <v>603</v>
      </c>
      <c r="H212" s="99" t="s">
        <v>17</v>
      </c>
      <c r="I212" s="96" t="s">
        <v>855</v>
      </c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spans="1:28" ht="28.5" customHeight="1" x14ac:dyDescent="0.35">
      <c r="A213" s="60">
        <f t="shared" si="6"/>
        <v>89</v>
      </c>
      <c r="B213" s="69" t="s">
        <v>1004</v>
      </c>
      <c r="C213" s="98" t="s">
        <v>945</v>
      </c>
      <c r="D213" s="99">
        <v>2024</v>
      </c>
      <c r="E213" s="113" t="s">
        <v>1005</v>
      </c>
      <c r="F213" s="88" t="s">
        <v>597</v>
      </c>
      <c r="G213" s="101" t="s">
        <v>1006</v>
      </c>
      <c r="H213" s="99" t="s">
        <v>17</v>
      </c>
      <c r="I213" s="96" t="s">
        <v>860</v>
      </c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spans="1:28" ht="28.5" customHeight="1" x14ac:dyDescent="0.35">
      <c r="A214" s="60">
        <f t="shared" si="6"/>
        <v>90</v>
      </c>
      <c r="B214" s="69" t="s">
        <v>1007</v>
      </c>
      <c r="C214" s="98" t="s">
        <v>664</v>
      </c>
      <c r="D214" s="99">
        <v>2024</v>
      </c>
      <c r="E214" s="113" t="s">
        <v>1008</v>
      </c>
      <c r="F214" s="88" t="s">
        <v>597</v>
      </c>
      <c r="G214" s="101" t="s">
        <v>1009</v>
      </c>
      <c r="H214" s="99" t="s">
        <v>17</v>
      </c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spans="1:28" ht="28.5" customHeight="1" x14ac:dyDescent="0.35">
      <c r="A215" s="60">
        <f t="shared" si="6"/>
        <v>91</v>
      </c>
      <c r="B215" s="69" t="s">
        <v>1010</v>
      </c>
      <c r="C215" s="114" t="s">
        <v>681</v>
      </c>
      <c r="D215" s="99">
        <v>2024</v>
      </c>
      <c r="E215" s="113">
        <v>139520000</v>
      </c>
      <c r="F215" s="89" t="s">
        <v>589</v>
      </c>
      <c r="G215" s="101" t="s">
        <v>665</v>
      </c>
      <c r="H215" s="99" t="s">
        <v>17</v>
      </c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spans="1:28" ht="28.5" customHeight="1" x14ac:dyDescent="0.35">
      <c r="A216" s="60">
        <f t="shared" si="6"/>
        <v>92</v>
      </c>
      <c r="B216" s="69" t="s">
        <v>1011</v>
      </c>
      <c r="C216" s="114" t="s">
        <v>681</v>
      </c>
      <c r="D216" s="99">
        <v>2024</v>
      </c>
      <c r="E216" s="113">
        <v>31250000</v>
      </c>
      <c r="F216" s="89" t="s">
        <v>589</v>
      </c>
      <c r="G216" s="101" t="s">
        <v>1012</v>
      </c>
      <c r="H216" s="99" t="s">
        <v>17</v>
      </c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spans="1:28" ht="28.5" customHeight="1" x14ac:dyDescent="0.35">
      <c r="A217" s="60">
        <f t="shared" si="6"/>
        <v>93</v>
      </c>
      <c r="B217" s="69" t="s">
        <v>1013</v>
      </c>
      <c r="C217" s="114" t="s">
        <v>681</v>
      </c>
      <c r="D217" s="99">
        <v>2024</v>
      </c>
      <c r="E217" s="113">
        <v>29610000</v>
      </c>
      <c r="F217" s="89" t="s">
        <v>589</v>
      </c>
      <c r="G217" s="101" t="s">
        <v>1014</v>
      </c>
      <c r="H217" s="99" t="s">
        <v>17</v>
      </c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spans="1:28" ht="28.5" customHeight="1" x14ac:dyDescent="0.35">
      <c r="A218" s="60">
        <f t="shared" si="6"/>
        <v>94</v>
      </c>
      <c r="B218" s="69" t="s">
        <v>1015</v>
      </c>
      <c r="C218" s="114" t="s">
        <v>634</v>
      </c>
      <c r="D218" s="99">
        <v>2024</v>
      </c>
      <c r="E218" s="113"/>
      <c r="F218" s="89" t="s">
        <v>589</v>
      </c>
      <c r="G218" s="101" t="s">
        <v>603</v>
      </c>
      <c r="H218" s="99" t="s">
        <v>17</v>
      </c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spans="1:28" ht="28.5" customHeight="1" x14ac:dyDescent="0.35">
      <c r="A219" s="60">
        <f t="shared" si="6"/>
        <v>95</v>
      </c>
      <c r="B219" s="69" t="s">
        <v>1016</v>
      </c>
      <c r="C219" s="98" t="s">
        <v>628</v>
      </c>
      <c r="D219" s="99">
        <v>2024</v>
      </c>
      <c r="E219" s="113" t="s">
        <v>1017</v>
      </c>
      <c r="F219" s="88" t="s">
        <v>597</v>
      </c>
      <c r="G219" s="101" t="s">
        <v>603</v>
      </c>
      <c r="H219" s="99" t="s">
        <v>17</v>
      </c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spans="1:28" ht="28.5" customHeight="1" x14ac:dyDescent="0.35">
      <c r="A220" s="60">
        <f t="shared" si="6"/>
        <v>96</v>
      </c>
      <c r="B220" s="69" t="s">
        <v>1018</v>
      </c>
      <c r="C220" s="114" t="s">
        <v>625</v>
      </c>
      <c r="D220" s="99">
        <v>2024</v>
      </c>
      <c r="E220" s="113"/>
      <c r="F220" s="89" t="s">
        <v>589</v>
      </c>
      <c r="G220" s="101" t="s">
        <v>603</v>
      </c>
      <c r="H220" s="99" t="s">
        <v>17</v>
      </c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spans="1:28" ht="28.5" customHeight="1" x14ac:dyDescent="0.35">
      <c r="A221" s="60">
        <f t="shared" si="6"/>
        <v>97</v>
      </c>
      <c r="B221" s="69" t="s">
        <v>1019</v>
      </c>
      <c r="C221" s="114" t="s">
        <v>611</v>
      </c>
      <c r="D221" s="99">
        <v>2024</v>
      </c>
      <c r="E221" s="113">
        <v>148560000</v>
      </c>
      <c r="F221" s="89" t="s">
        <v>589</v>
      </c>
      <c r="G221" s="101" t="s">
        <v>603</v>
      </c>
      <c r="H221" s="99" t="s">
        <v>17</v>
      </c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spans="1:28" ht="28.5" customHeight="1" x14ac:dyDescent="0.35">
      <c r="A222" s="60">
        <f t="shared" si="6"/>
        <v>98</v>
      </c>
      <c r="B222" s="69" t="s">
        <v>1020</v>
      </c>
      <c r="C222" s="114" t="s">
        <v>595</v>
      </c>
      <c r="D222" s="99">
        <v>2024</v>
      </c>
      <c r="E222" s="113">
        <v>49800000</v>
      </c>
      <c r="F222" s="89" t="s">
        <v>589</v>
      </c>
      <c r="G222" s="101" t="s">
        <v>1021</v>
      </c>
      <c r="H222" s="99" t="s">
        <v>17</v>
      </c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spans="1:28" ht="28.5" customHeight="1" x14ac:dyDescent="0.35">
      <c r="A223" s="60">
        <f t="shared" si="6"/>
        <v>99</v>
      </c>
      <c r="B223" s="69" t="s">
        <v>1022</v>
      </c>
      <c r="C223" s="114" t="s">
        <v>595</v>
      </c>
      <c r="D223" s="99">
        <v>2024</v>
      </c>
      <c r="E223" s="113">
        <v>53000000</v>
      </c>
      <c r="F223" s="89" t="s">
        <v>589</v>
      </c>
      <c r="G223" s="101" t="s">
        <v>1023</v>
      </c>
      <c r="H223" s="99" t="s">
        <v>17</v>
      </c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spans="1:28" ht="28.5" customHeight="1" x14ac:dyDescent="0.35">
      <c r="A224" s="60">
        <f t="shared" si="6"/>
        <v>100</v>
      </c>
      <c r="B224" s="69" t="s">
        <v>1024</v>
      </c>
      <c r="C224" s="69" t="s">
        <v>971</v>
      </c>
      <c r="D224" s="99">
        <v>2024</v>
      </c>
      <c r="E224" s="113">
        <v>29000000</v>
      </c>
      <c r="F224" s="89" t="s">
        <v>589</v>
      </c>
      <c r="G224" s="101" t="s">
        <v>1025</v>
      </c>
      <c r="H224" s="99" t="s">
        <v>17</v>
      </c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spans="1:28" ht="28.5" customHeight="1" x14ac:dyDescent="0.35">
      <c r="A225" s="60">
        <f t="shared" si="6"/>
        <v>101</v>
      </c>
      <c r="B225" s="69" t="s">
        <v>1026</v>
      </c>
      <c r="C225" s="69" t="s">
        <v>689</v>
      </c>
      <c r="D225" s="99">
        <v>2024</v>
      </c>
      <c r="E225" s="113">
        <v>53780000</v>
      </c>
      <c r="F225" s="89" t="s">
        <v>589</v>
      </c>
      <c r="G225" s="101" t="s">
        <v>1027</v>
      </c>
      <c r="H225" s="99" t="s">
        <v>17</v>
      </c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spans="1:28" ht="28.5" customHeight="1" x14ac:dyDescent="0.35">
      <c r="A226" s="60">
        <f>A220+1</f>
        <v>97</v>
      </c>
      <c r="B226" s="69" t="s">
        <v>1028</v>
      </c>
      <c r="C226" s="69" t="s">
        <v>588</v>
      </c>
      <c r="D226" s="99">
        <v>2024</v>
      </c>
      <c r="E226" s="113" t="s">
        <v>1029</v>
      </c>
      <c r="F226" s="88" t="s">
        <v>597</v>
      </c>
      <c r="G226" s="101" t="s">
        <v>1030</v>
      </c>
      <c r="H226" s="99" t="s">
        <v>17</v>
      </c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spans="1:28" ht="28.5" customHeight="1" x14ac:dyDescent="0.35">
      <c r="A227" s="60">
        <f t="shared" ref="A227:A232" si="7">A226+1</f>
        <v>98</v>
      </c>
      <c r="B227" s="69" t="s">
        <v>1031</v>
      </c>
      <c r="C227" s="98" t="s">
        <v>588</v>
      </c>
      <c r="D227" s="99">
        <v>2024</v>
      </c>
      <c r="E227" s="113" t="s">
        <v>1032</v>
      </c>
      <c r="F227" s="88" t="s">
        <v>597</v>
      </c>
      <c r="G227" s="101" t="s">
        <v>1033</v>
      </c>
      <c r="H227" s="99" t="s">
        <v>17</v>
      </c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spans="1:28" ht="28.5" customHeight="1" x14ac:dyDescent="0.35">
      <c r="A228" s="60">
        <f t="shared" si="7"/>
        <v>99</v>
      </c>
      <c r="B228" s="69" t="s">
        <v>737</v>
      </c>
      <c r="C228" s="98" t="s">
        <v>588</v>
      </c>
      <c r="D228" s="99">
        <v>2024</v>
      </c>
      <c r="E228" s="113" t="s">
        <v>1034</v>
      </c>
      <c r="F228" s="88" t="s">
        <v>597</v>
      </c>
      <c r="G228" s="101" t="s">
        <v>665</v>
      </c>
      <c r="H228" s="99" t="s">
        <v>17</v>
      </c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spans="1:28" ht="28.5" customHeight="1" x14ac:dyDescent="0.35">
      <c r="A229" s="60">
        <f t="shared" si="7"/>
        <v>100</v>
      </c>
      <c r="B229" s="69" t="s">
        <v>1035</v>
      </c>
      <c r="C229" s="98" t="s">
        <v>717</v>
      </c>
      <c r="D229" s="99">
        <v>2024</v>
      </c>
      <c r="E229" s="113" t="s">
        <v>1036</v>
      </c>
      <c r="F229" s="88" t="s">
        <v>597</v>
      </c>
      <c r="G229" s="101" t="s">
        <v>603</v>
      </c>
      <c r="H229" s="99" t="s">
        <v>17</v>
      </c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spans="1:28" ht="28.5" customHeight="1" x14ac:dyDescent="0.35">
      <c r="A230" s="60">
        <f t="shared" si="7"/>
        <v>101</v>
      </c>
      <c r="B230" s="69" t="s">
        <v>1037</v>
      </c>
      <c r="C230" s="98" t="s">
        <v>717</v>
      </c>
      <c r="D230" s="99">
        <v>2024</v>
      </c>
      <c r="E230" s="113" t="s">
        <v>1038</v>
      </c>
      <c r="F230" s="88" t="s">
        <v>597</v>
      </c>
      <c r="G230" s="101" t="s">
        <v>603</v>
      </c>
      <c r="H230" s="99" t="s">
        <v>17</v>
      </c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spans="1:28" ht="28.5" customHeight="1" x14ac:dyDescent="0.35">
      <c r="A231" s="60">
        <f t="shared" si="7"/>
        <v>102</v>
      </c>
      <c r="B231" s="69" t="s">
        <v>1039</v>
      </c>
      <c r="C231" s="98" t="s">
        <v>602</v>
      </c>
      <c r="D231" s="99">
        <v>2024</v>
      </c>
      <c r="E231" s="113" t="s">
        <v>1040</v>
      </c>
      <c r="F231" s="88" t="s">
        <v>597</v>
      </c>
      <c r="G231" s="101" t="s">
        <v>603</v>
      </c>
      <c r="H231" s="99" t="s">
        <v>17</v>
      </c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spans="1:28" ht="28.5" customHeight="1" x14ac:dyDescent="0.35">
      <c r="A232" s="60">
        <f t="shared" si="7"/>
        <v>103</v>
      </c>
      <c r="B232" s="69" t="s">
        <v>1041</v>
      </c>
      <c r="C232" s="98" t="s">
        <v>696</v>
      </c>
      <c r="D232" s="99">
        <v>2024</v>
      </c>
      <c r="E232" s="113" t="s">
        <v>1042</v>
      </c>
      <c r="F232" s="88" t="s">
        <v>597</v>
      </c>
      <c r="G232" s="101" t="s">
        <v>1043</v>
      </c>
      <c r="H232" s="99" t="s">
        <v>17</v>
      </c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spans="1:28" ht="28.5" customHeight="1" x14ac:dyDescent="0.35">
      <c r="A233" s="39"/>
      <c r="B233" s="39"/>
      <c r="C233" s="39"/>
      <c r="D233" s="44"/>
      <c r="E233" s="52"/>
      <c r="F233" s="44"/>
      <c r="G233" s="38"/>
      <c r="H233" s="44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spans="1:28" ht="28.5" customHeight="1" x14ac:dyDescent="0.35">
      <c r="A234" s="39"/>
      <c r="B234" s="39"/>
      <c r="C234" s="115"/>
      <c r="D234" s="116"/>
      <c r="E234" s="116"/>
      <c r="F234" s="116"/>
      <c r="G234" s="38"/>
      <c r="H234" s="44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spans="1:28" ht="28.5" customHeight="1" x14ac:dyDescent="0.35">
      <c r="A235" s="39"/>
      <c r="B235" s="39"/>
      <c r="C235" s="117"/>
      <c r="D235" s="118"/>
      <c r="E235" s="118"/>
      <c r="F235" s="118"/>
      <c r="G235" s="38"/>
      <c r="H235" s="44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spans="1:28" ht="28.5" customHeight="1" x14ac:dyDescent="0.35">
      <c r="A236" s="39"/>
      <c r="B236" s="39"/>
      <c r="C236" s="117"/>
      <c r="D236" s="118"/>
      <c r="E236" s="118"/>
      <c r="F236" s="118"/>
      <c r="G236" s="38"/>
      <c r="H236" s="44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spans="1:28" ht="28.5" customHeight="1" x14ac:dyDescent="0.35">
      <c r="A237" s="39"/>
      <c r="B237" s="39"/>
      <c r="C237" s="119"/>
      <c r="D237" s="118"/>
      <c r="E237" s="118"/>
      <c r="F237" s="118"/>
      <c r="G237" s="38"/>
      <c r="H237" s="44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spans="1:28" ht="28.5" customHeight="1" x14ac:dyDescent="0.35">
      <c r="A238" s="39"/>
      <c r="B238" s="39"/>
      <c r="C238" s="117"/>
      <c r="D238" s="118"/>
      <c r="E238" s="118"/>
      <c r="F238" s="118"/>
      <c r="G238" s="38"/>
      <c r="H238" s="44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spans="1:28" ht="28.5" customHeight="1" x14ac:dyDescent="0.35">
      <c r="A239" s="39"/>
      <c r="B239" s="39"/>
      <c r="C239" s="120"/>
      <c r="D239" s="121"/>
      <c r="E239" s="121"/>
      <c r="F239" s="121"/>
      <c r="G239" s="38"/>
      <c r="H239" s="44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spans="1:28" ht="28.5" customHeight="1" x14ac:dyDescent="0.35">
      <c r="A240" s="39"/>
      <c r="B240" s="39"/>
      <c r="C240" s="39"/>
      <c r="D240" s="44"/>
      <c r="E240" s="52"/>
      <c r="F240" s="44"/>
      <c r="G240" s="38"/>
      <c r="H240" s="44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spans="1:28" ht="28.5" customHeight="1" x14ac:dyDescent="0.35">
      <c r="A241" s="39"/>
      <c r="B241" s="39"/>
      <c r="C241" s="39"/>
      <c r="D241" s="44"/>
      <c r="E241" s="52"/>
      <c r="F241" s="44"/>
      <c r="G241" s="38"/>
      <c r="H241" s="44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spans="1:28" ht="28.5" customHeight="1" x14ac:dyDescent="0.35">
      <c r="A242" s="39"/>
      <c r="B242" s="39"/>
      <c r="C242" s="39"/>
      <c r="D242" s="44"/>
      <c r="E242" s="52"/>
      <c r="F242" s="44"/>
      <c r="G242" s="38"/>
      <c r="H242" s="44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spans="1:28" ht="28.5" customHeight="1" x14ac:dyDescent="0.35">
      <c r="A243" s="39"/>
      <c r="B243" s="39"/>
      <c r="C243" s="39"/>
      <c r="D243" s="44"/>
      <c r="E243" s="52"/>
      <c r="F243" s="44"/>
      <c r="G243" s="38"/>
      <c r="H243" s="44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spans="1:28" ht="28.5" customHeight="1" x14ac:dyDescent="0.35">
      <c r="A244" s="39"/>
      <c r="B244" s="39"/>
      <c r="C244" s="39"/>
      <c r="D244" s="44"/>
      <c r="E244" s="52"/>
      <c r="F244" s="44"/>
      <c r="G244" s="38"/>
      <c r="H244" s="44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spans="1:28" ht="28.5" customHeight="1" x14ac:dyDescent="0.35">
      <c r="A245" s="39"/>
      <c r="B245" s="39"/>
      <c r="C245" s="39"/>
      <c r="D245" s="44"/>
      <c r="E245" s="52"/>
      <c r="F245" s="44"/>
      <c r="G245" s="38"/>
      <c r="H245" s="44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spans="1:28" ht="28.5" customHeight="1" x14ac:dyDescent="0.35">
      <c r="A246" s="39"/>
      <c r="B246" s="39"/>
      <c r="C246" s="39"/>
      <c r="D246" s="44"/>
      <c r="E246" s="52"/>
      <c r="F246" s="44"/>
      <c r="G246" s="38"/>
      <c r="H246" s="44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spans="1:28" ht="28.5" customHeight="1" x14ac:dyDescent="0.35">
      <c r="A247" s="39"/>
      <c r="B247" s="39"/>
      <c r="C247" s="39"/>
      <c r="D247" s="44"/>
      <c r="E247" s="52"/>
      <c r="F247" s="44"/>
      <c r="G247" s="38"/>
      <c r="H247" s="44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spans="1:28" ht="28.5" customHeight="1" x14ac:dyDescent="0.35">
      <c r="A248" s="39"/>
      <c r="B248" s="39"/>
      <c r="C248" s="39"/>
      <c r="D248" s="44"/>
      <c r="E248" s="52"/>
      <c r="F248" s="44"/>
      <c r="G248" s="38"/>
      <c r="H248" s="44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spans="1:28" ht="28.5" customHeight="1" x14ac:dyDescent="0.35">
      <c r="A249" s="39"/>
      <c r="B249" s="39"/>
      <c r="C249" s="39"/>
      <c r="D249" s="44"/>
      <c r="E249" s="52"/>
      <c r="F249" s="44"/>
      <c r="G249" s="38"/>
      <c r="H249" s="44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spans="1:28" ht="28.5" customHeight="1" x14ac:dyDescent="0.35">
      <c r="A250" s="39"/>
      <c r="B250" s="39"/>
      <c r="C250" s="39"/>
      <c r="D250" s="44"/>
      <c r="E250" s="52"/>
      <c r="F250" s="44"/>
      <c r="G250" s="38"/>
      <c r="H250" s="44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spans="1:28" ht="28.5" customHeight="1" x14ac:dyDescent="0.35">
      <c r="A251" s="39"/>
      <c r="B251" s="39"/>
      <c r="C251" s="39"/>
      <c r="D251" s="44"/>
      <c r="E251" s="52"/>
      <c r="F251" s="44"/>
      <c r="G251" s="38"/>
      <c r="H251" s="44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spans="1:28" ht="28.5" customHeight="1" x14ac:dyDescent="0.35">
      <c r="A252" s="39"/>
      <c r="B252" s="39"/>
      <c r="C252" s="39"/>
      <c r="D252" s="44"/>
      <c r="E252" s="52"/>
      <c r="F252" s="44"/>
      <c r="G252" s="38"/>
      <c r="H252" s="44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spans="1:28" ht="28.5" customHeight="1" x14ac:dyDescent="0.35">
      <c r="A253" s="39"/>
      <c r="B253" s="39"/>
      <c r="C253" s="39"/>
      <c r="D253" s="44"/>
      <c r="E253" s="52"/>
      <c r="F253" s="44"/>
      <c r="G253" s="38"/>
      <c r="H253" s="44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spans="1:28" ht="28.5" customHeight="1" x14ac:dyDescent="0.35">
      <c r="A254" s="39"/>
      <c r="B254" s="39"/>
      <c r="C254" s="39"/>
      <c r="D254" s="44"/>
      <c r="E254" s="52"/>
      <c r="F254" s="44"/>
      <c r="G254" s="38"/>
      <c r="H254" s="44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spans="1:28" ht="28.5" customHeight="1" x14ac:dyDescent="0.35">
      <c r="A255" s="39"/>
      <c r="B255" s="39"/>
      <c r="C255" s="39"/>
      <c r="D255" s="44"/>
      <c r="E255" s="52"/>
      <c r="F255" s="44"/>
      <c r="G255" s="38"/>
      <c r="H255" s="44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spans="1:28" ht="28.5" customHeight="1" x14ac:dyDescent="0.35">
      <c r="A256" s="39"/>
      <c r="B256" s="39"/>
      <c r="C256" s="39"/>
      <c r="D256" s="44"/>
      <c r="E256" s="52"/>
      <c r="F256" s="44"/>
      <c r="G256" s="38"/>
      <c r="H256" s="44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spans="1:28" ht="28.5" customHeight="1" x14ac:dyDescent="0.35">
      <c r="A257" s="39"/>
      <c r="B257" s="39"/>
      <c r="C257" s="39"/>
      <c r="D257" s="44"/>
      <c r="E257" s="52"/>
      <c r="F257" s="44"/>
      <c r="G257" s="38"/>
      <c r="H257" s="44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spans="1:28" ht="28.5" customHeight="1" x14ac:dyDescent="0.35">
      <c r="A258" s="39"/>
      <c r="B258" s="39"/>
      <c r="C258" s="39"/>
      <c r="D258" s="44"/>
      <c r="E258" s="52"/>
      <c r="F258" s="44"/>
      <c r="G258" s="38"/>
      <c r="H258" s="44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spans="1:28" ht="28.5" customHeight="1" x14ac:dyDescent="0.35">
      <c r="A259" s="39"/>
      <c r="B259" s="39"/>
      <c r="C259" s="39"/>
      <c r="D259" s="44"/>
      <c r="E259" s="52"/>
      <c r="F259" s="44"/>
      <c r="G259" s="38"/>
      <c r="H259" s="44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spans="1:28" ht="28.5" customHeight="1" x14ac:dyDescent="0.35">
      <c r="A260" s="39"/>
      <c r="B260" s="39"/>
      <c r="C260" s="39"/>
      <c r="D260" s="44"/>
      <c r="E260" s="52"/>
      <c r="F260" s="44"/>
      <c r="G260" s="38"/>
      <c r="H260" s="44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spans="1:28" ht="28.5" customHeight="1" x14ac:dyDescent="0.35">
      <c r="A261" s="39"/>
      <c r="B261" s="39"/>
      <c r="C261" s="39"/>
      <c r="D261" s="44"/>
      <c r="E261" s="52"/>
      <c r="F261" s="44"/>
      <c r="G261" s="38"/>
      <c r="H261" s="44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spans="1:28" ht="28.5" customHeight="1" x14ac:dyDescent="0.35">
      <c r="A262" s="39"/>
      <c r="B262" s="39"/>
      <c r="C262" s="39"/>
      <c r="D262" s="44"/>
      <c r="E262" s="52"/>
      <c r="F262" s="44"/>
      <c r="G262" s="38"/>
      <c r="H262" s="44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spans="1:28" ht="28.5" customHeight="1" x14ac:dyDescent="0.35">
      <c r="A263" s="39"/>
      <c r="B263" s="39"/>
      <c r="C263" s="39"/>
      <c r="D263" s="44"/>
      <c r="E263" s="52"/>
      <c r="F263" s="44"/>
      <c r="G263" s="38"/>
      <c r="H263" s="44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spans="1:28" ht="28.5" customHeight="1" x14ac:dyDescent="0.35">
      <c r="A264" s="39"/>
      <c r="B264" s="39"/>
      <c r="C264" s="39"/>
      <c r="D264" s="44"/>
      <c r="E264" s="52"/>
      <c r="F264" s="44"/>
      <c r="G264" s="38"/>
      <c r="H264" s="44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spans="1:28" ht="28.5" customHeight="1" x14ac:dyDescent="0.35">
      <c r="A265" s="39"/>
      <c r="B265" s="39"/>
      <c r="C265" s="39"/>
      <c r="D265" s="44"/>
      <c r="E265" s="52"/>
      <c r="F265" s="44"/>
      <c r="G265" s="38"/>
      <c r="H265" s="44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spans="1:28" ht="28.5" customHeight="1" x14ac:dyDescent="0.35">
      <c r="A266" s="39"/>
      <c r="B266" s="39"/>
      <c r="C266" s="39"/>
      <c r="D266" s="44"/>
      <c r="E266" s="52"/>
      <c r="F266" s="44"/>
      <c r="G266" s="38"/>
      <c r="H266" s="44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spans="1:28" ht="28.5" customHeight="1" x14ac:dyDescent="0.35">
      <c r="A267" s="39"/>
      <c r="B267" s="39"/>
      <c r="C267" s="39"/>
      <c r="D267" s="44"/>
      <c r="E267" s="52"/>
      <c r="F267" s="44"/>
      <c r="G267" s="38"/>
      <c r="H267" s="44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spans="1:28" ht="28.5" customHeight="1" x14ac:dyDescent="0.35">
      <c r="A268" s="39"/>
      <c r="B268" s="39"/>
      <c r="C268" s="39"/>
      <c r="D268" s="44"/>
      <c r="E268" s="52"/>
      <c r="F268" s="44"/>
      <c r="G268" s="38"/>
      <c r="H268" s="44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spans="1:28" ht="28.5" customHeight="1" x14ac:dyDescent="0.35">
      <c r="A269" s="39"/>
      <c r="B269" s="39"/>
      <c r="C269" s="39"/>
      <c r="D269" s="44"/>
      <c r="E269" s="52"/>
      <c r="F269" s="44"/>
      <c r="G269" s="38"/>
      <c r="H269" s="44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spans="1:28" ht="28.5" customHeight="1" x14ac:dyDescent="0.35">
      <c r="A270" s="39"/>
      <c r="B270" s="39"/>
      <c r="C270" s="39"/>
      <c r="D270" s="44"/>
      <c r="E270" s="52"/>
      <c r="F270" s="44"/>
      <c r="G270" s="38"/>
      <c r="H270" s="44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spans="1:28" ht="28.5" customHeight="1" x14ac:dyDescent="0.35">
      <c r="A271" s="39"/>
      <c r="B271" s="39"/>
      <c r="C271" s="39"/>
      <c r="D271" s="44"/>
      <c r="E271" s="52"/>
      <c r="F271" s="44"/>
      <c r="G271" s="38"/>
      <c r="H271" s="44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spans="1:28" ht="28.5" customHeight="1" x14ac:dyDescent="0.35">
      <c r="A272" s="39"/>
      <c r="B272" s="39"/>
      <c r="C272" s="39"/>
      <c r="D272" s="44"/>
      <c r="E272" s="52"/>
      <c r="F272" s="44"/>
      <c r="G272" s="38"/>
      <c r="H272" s="44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spans="1:28" ht="28.5" customHeight="1" x14ac:dyDescent="0.35">
      <c r="A273" s="39"/>
      <c r="B273" s="39"/>
      <c r="C273" s="39"/>
      <c r="D273" s="44"/>
      <c r="E273" s="52"/>
      <c r="F273" s="44"/>
      <c r="G273" s="38"/>
      <c r="H273" s="44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spans="1:28" ht="28.5" customHeight="1" x14ac:dyDescent="0.35">
      <c r="A274" s="39"/>
      <c r="B274" s="39"/>
      <c r="C274" s="39"/>
      <c r="D274" s="44"/>
      <c r="E274" s="52"/>
      <c r="F274" s="44"/>
      <c r="G274" s="38"/>
      <c r="H274" s="44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spans="1:28" ht="28.5" customHeight="1" x14ac:dyDescent="0.35">
      <c r="A275" s="39"/>
      <c r="B275" s="39"/>
      <c r="C275" s="39"/>
      <c r="D275" s="44"/>
      <c r="E275" s="52"/>
      <c r="F275" s="44"/>
      <c r="G275" s="38"/>
      <c r="H275" s="44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spans="1:28" ht="28.5" customHeight="1" x14ac:dyDescent="0.35">
      <c r="A276" s="39"/>
      <c r="B276" s="39"/>
      <c r="C276" s="39"/>
      <c r="D276" s="44"/>
      <c r="E276" s="52"/>
      <c r="F276" s="44"/>
      <c r="G276" s="38"/>
      <c r="H276" s="44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spans="1:28" ht="28.5" customHeight="1" x14ac:dyDescent="0.35">
      <c r="A277" s="39"/>
      <c r="B277" s="39"/>
      <c r="C277" s="39"/>
      <c r="D277" s="44"/>
      <c r="E277" s="52"/>
      <c r="F277" s="44"/>
      <c r="G277" s="38"/>
      <c r="H277" s="44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spans="1:28" ht="28.5" customHeight="1" x14ac:dyDescent="0.35">
      <c r="A278" s="39"/>
      <c r="B278" s="39"/>
      <c r="C278" s="39"/>
      <c r="D278" s="44"/>
      <c r="E278" s="52"/>
      <c r="F278" s="44"/>
      <c r="G278" s="38"/>
      <c r="H278" s="44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spans="1:28" ht="28.5" customHeight="1" x14ac:dyDescent="0.35">
      <c r="A279" s="39"/>
      <c r="B279" s="39"/>
      <c r="C279" s="39"/>
      <c r="D279" s="44"/>
      <c r="E279" s="52"/>
      <c r="F279" s="44"/>
      <c r="G279" s="38"/>
      <c r="H279" s="44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spans="1:28" ht="28.5" customHeight="1" x14ac:dyDescent="0.35">
      <c r="A280" s="39"/>
      <c r="B280" s="39"/>
      <c r="C280" s="39"/>
      <c r="D280" s="44"/>
      <c r="E280" s="52"/>
      <c r="F280" s="44"/>
      <c r="G280" s="38"/>
      <c r="H280" s="44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spans="1:28" ht="28.5" customHeight="1" x14ac:dyDescent="0.35">
      <c r="A281" s="39"/>
      <c r="B281" s="39"/>
      <c r="C281" s="39"/>
      <c r="D281" s="44"/>
      <c r="E281" s="52"/>
      <c r="F281" s="44"/>
      <c r="G281" s="38"/>
      <c r="H281" s="44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spans="1:28" ht="28.5" customHeight="1" x14ac:dyDescent="0.35">
      <c r="A282" s="39"/>
      <c r="B282" s="39"/>
      <c r="C282" s="39"/>
      <c r="D282" s="44"/>
      <c r="E282" s="52"/>
      <c r="F282" s="44"/>
      <c r="G282" s="38"/>
      <c r="H282" s="44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spans="1:28" ht="28.5" customHeight="1" x14ac:dyDescent="0.35">
      <c r="A283" s="39"/>
      <c r="B283" s="39"/>
      <c r="C283" s="39"/>
      <c r="D283" s="44"/>
      <c r="E283" s="52"/>
      <c r="F283" s="44"/>
      <c r="G283" s="38"/>
      <c r="H283" s="44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spans="1:28" ht="28.5" customHeight="1" x14ac:dyDescent="0.35">
      <c r="A284" s="39"/>
      <c r="B284" s="39"/>
      <c r="C284" s="39"/>
      <c r="D284" s="44"/>
      <c r="E284" s="52"/>
      <c r="F284" s="44"/>
      <c r="G284" s="38"/>
      <c r="H284" s="44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spans="1:28" ht="28.5" customHeight="1" x14ac:dyDescent="0.35">
      <c r="A285" s="39"/>
      <c r="B285" s="39"/>
      <c r="C285" s="39"/>
      <c r="D285" s="44"/>
      <c r="E285" s="52"/>
      <c r="F285" s="44"/>
      <c r="G285" s="38"/>
      <c r="H285" s="44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spans="1:28" ht="28.5" customHeight="1" x14ac:dyDescent="0.35">
      <c r="A286" s="39"/>
      <c r="B286" s="39"/>
      <c r="C286" s="39"/>
      <c r="D286" s="44"/>
      <c r="E286" s="52"/>
      <c r="F286" s="44"/>
      <c r="G286" s="38"/>
      <c r="H286" s="44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spans="1:28" ht="28.5" customHeight="1" x14ac:dyDescent="0.35">
      <c r="A287" s="39"/>
      <c r="B287" s="39"/>
      <c r="C287" s="39"/>
      <c r="D287" s="44"/>
      <c r="E287" s="52"/>
      <c r="F287" s="44"/>
      <c r="G287" s="38"/>
      <c r="H287" s="44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spans="1:28" ht="28.5" customHeight="1" x14ac:dyDescent="0.35">
      <c r="A288" s="39"/>
      <c r="B288" s="39"/>
      <c r="C288" s="39"/>
      <c r="D288" s="44"/>
      <c r="E288" s="52"/>
      <c r="F288" s="44"/>
      <c r="G288" s="38"/>
      <c r="H288" s="44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spans="1:28" ht="28.5" customHeight="1" x14ac:dyDescent="0.35">
      <c r="A289" s="39"/>
      <c r="B289" s="39"/>
      <c r="C289" s="39"/>
      <c r="D289" s="44"/>
      <c r="E289" s="52"/>
      <c r="F289" s="44"/>
      <c r="G289" s="38"/>
      <c r="H289" s="44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spans="1:28" ht="28.5" customHeight="1" x14ac:dyDescent="0.35">
      <c r="A290" s="39"/>
      <c r="B290" s="39"/>
      <c r="C290" s="39"/>
      <c r="D290" s="44"/>
      <c r="E290" s="52"/>
      <c r="F290" s="44"/>
      <c r="G290" s="38"/>
      <c r="H290" s="44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spans="1:28" ht="28.5" customHeight="1" x14ac:dyDescent="0.35">
      <c r="A291" s="39"/>
      <c r="B291" s="39"/>
      <c r="C291" s="39"/>
      <c r="D291" s="44"/>
      <c r="E291" s="52"/>
      <c r="F291" s="44"/>
      <c r="G291" s="38"/>
      <c r="H291" s="44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spans="1:28" ht="28.5" customHeight="1" x14ac:dyDescent="0.35">
      <c r="A292" s="39"/>
      <c r="B292" s="39"/>
      <c r="C292" s="39"/>
      <c r="D292" s="44"/>
      <c r="E292" s="52"/>
      <c r="F292" s="44"/>
      <c r="G292" s="38"/>
      <c r="H292" s="44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spans="1:28" ht="28.5" customHeight="1" x14ac:dyDescent="0.35">
      <c r="A293" s="39"/>
      <c r="B293" s="39"/>
      <c r="C293" s="39"/>
      <c r="D293" s="44"/>
      <c r="E293" s="52"/>
      <c r="F293" s="44"/>
      <c r="G293" s="38"/>
      <c r="H293" s="44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spans="1:28" ht="28.5" customHeight="1" x14ac:dyDescent="0.35">
      <c r="A294" s="39"/>
      <c r="B294" s="39"/>
      <c r="C294" s="39"/>
      <c r="D294" s="44"/>
      <c r="E294" s="52"/>
      <c r="F294" s="44"/>
      <c r="G294" s="38"/>
      <c r="H294" s="44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spans="1:28" ht="28.5" customHeight="1" x14ac:dyDescent="0.35">
      <c r="A295" s="39"/>
      <c r="B295" s="39"/>
      <c r="C295" s="39"/>
      <c r="D295" s="44"/>
      <c r="E295" s="52"/>
      <c r="F295" s="44"/>
      <c r="G295" s="38"/>
      <c r="H295" s="44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spans="1:28" ht="28.5" customHeight="1" x14ac:dyDescent="0.35">
      <c r="A296" s="39"/>
      <c r="B296" s="39"/>
      <c r="C296" s="39"/>
      <c r="D296" s="44"/>
      <c r="E296" s="52"/>
      <c r="F296" s="44"/>
      <c r="G296" s="38"/>
      <c r="H296" s="44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spans="1:28" ht="28.5" customHeight="1" x14ac:dyDescent="0.35">
      <c r="A297" s="39"/>
      <c r="B297" s="39"/>
      <c r="C297" s="39"/>
      <c r="D297" s="44"/>
      <c r="E297" s="52"/>
      <c r="F297" s="44"/>
      <c r="G297" s="38"/>
      <c r="H297" s="44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spans="1:28" ht="28.5" customHeight="1" x14ac:dyDescent="0.35">
      <c r="A298" s="39"/>
      <c r="B298" s="39"/>
      <c r="C298" s="39"/>
      <c r="D298" s="44"/>
      <c r="E298" s="52"/>
      <c r="F298" s="44"/>
      <c r="G298" s="38"/>
      <c r="H298" s="44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spans="1:28" ht="28.5" customHeight="1" x14ac:dyDescent="0.35">
      <c r="A299" s="39"/>
      <c r="B299" s="39"/>
      <c r="C299" s="39"/>
      <c r="D299" s="44"/>
      <c r="E299" s="52"/>
      <c r="F299" s="44"/>
      <c r="G299" s="38"/>
      <c r="H299" s="44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spans="1:28" ht="28.5" customHeight="1" x14ac:dyDescent="0.35">
      <c r="A300" s="39"/>
      <c r="B300" s="39"/>
      <c r="C300" s="39"/>
      <c r="D300" s="44"/>
      <c r="E300" s="52"/>
      <c r="F300" s="44"/>
      <c r="G300" s="38"/>
      <c r="H300" s="44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spans="1:28" ht="28.5" customHeight="1" x14ac:dyDescent="0.35">
      <c r="A301" s="39"/>
      <c r="B301" s="39"/>
      <c r="C301" s="39"/>
      <c r="D301" s="44"/>
      <c r="E301" s="52"/>
      <c r="F301" s="44"/>
      <c r="G301" s="38"/>
      <c r="H301" s="44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spans="1:28" ht="28.5" customHeight="1" x14ac:dyDescent="0.35">
      <c r="A302" s="39"/>
      <c r="B302" s="39"/>
      <c r="C302" s="39"/>
      <c r="D302" s="44"/>
      <c r="E302" s="52"/>
      <c r="F302" s="44"/>
      <c r="G302" s="38"/>
      <c r="H302" s="44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spans="1:28" ht="28.5" customHeight="1" x14ac:dyDescent="0.35">
      <c r="A303" s="39"/>
      <c r="B303" s="39"/>
      <c r="C303" s="39"/>
      <c r="D303" s="44"/>
      <c r="E303" s="52"/>
      <c r="F303" s="44"/>
      <c r="G303" s="38"/>
      <c r="H303" s="44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spans="1:28" ht="28.5" customHeight="1" x14ac:dyDescent="0.35">
      <c r="A304" s="39"/>
      <c r="B304" s="39"/>
      <c r="C304" s="39"/>
      <c r="D304" s="44"/>
      <c r="E304" s="52"/>
      <c r="F304" s="44"/>
      <c r="G304" s="38"/>
      <c r="H304" s="44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spans="1:28" ht="28.5" customHeight="1" x14ac:dyDescent="0.35">
      <c r="A305" s="39"/>
      <c r="B305" s="39"/>
      <c r="C305" s="39"/>
      <c r="D305" s="44"/>
      <c r="E305" s="52"/>
      <c r="F305" s="44"/>
      <c r="G305" s="38"/>
      <c r="H305" s="44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spans="1:28" ht="28.5" customHeight="1" x14ac:dyDescent="0.35">
      <c r="A306" s="39"/>
      <c r="B306" s="39"/>
      <c r="C306" s="39"/>
      <c r="D306" s="44"/>
      <c r="E306" s="52"/>
      <c r="F306" s="44"/>
      <c r="G306" s="38"/>
      <c r="H306" s="44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spans="1:28" ht="28.5" customHeight="1" x14ac:dyDescent="0.35">
      <c r="A307" s="39"/>
      <c r="B307" s="39"/>
      <c r="C307" s="39"/>
      <c r="D307" s="44"/>
      <c r="E307" s="52"/>
      <c r="F307" s="44"/>
      <c r="G307" s="38"/>
      <c r="H307" s="44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spans="1:28" ht="28.5" customHeight="1" x14ac:dyDescent="0.35">
      <c r="A308" s="39"/>
      <c r="B308" s="39"/>
      <c r="C308" s="39"/>
      <c r="D308" s="44"/>
      <c r="E308" s="52"/>
      <c r="F308" s="44"/>
      <c r="G308" s="38"/>
      <c r="H308" s="44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spans="1:28" ht="28.5" customHeight="1" x14ac:dyDescent="0.35">
      <c r="A309" s="39"/>
      <c r="B309" s="39"/>
      <c r="C309" s="39"/>
      <c r="D309" s="44"/>
      <c r="E309" s="52"/>
      <c r="F309" s="44"/>
      <c r="G309" s="38"/>
      <c r="H309" s="44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spans="1:28" ht="28.5" customHeight="1" x14ac:dyDescent="0.35">
      <c r="A310" s="39"/>
      <c r="B310" s="39"/>
      <c r="C310" s="39"/>
      <c r="D310" s="44"/>
      <c r="E310" s="52"/>
      <c r="F310" s="44"/>
      <c r="G310" s="38"/>
      <c r="H310" s="44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spans="1:28" ht="28.5" customHeight="1" x14ac:dyDescent="0.35">
      <c r="A311" s="39"/>
      <c r="B311" s="39"/>
      <c r="C311" s="39"/>
      <c r="D311" s="44"/>
      <c r="E311" s="52"/>
      <c r="F311" s="44"/>
      <c r="G311" s="38"/>
      <c r="H311" s="44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spans="1:28" ht="28.5" customHeight="1" x14ac:dyDescent="0.35">
      <c r="A312" s="39"/>
      <c r="B312" s="39"/>
      <c r="C312" s="39"/>
      <c r="D312" s="44"/>
      <c r="E312" s="52"/>
      <c r="F312" s="44"/>
      <c r="G312" s="38"/>
      <c r="H312" s="44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spans="1:28" ht="28.5" customHeight="1" x14ac:dyDescent="0.35">
      <c r="A313" s="39"/>
      <c r="B313" s="39"/>
      <c r="C313" s="39"/>
      <c r="D313" s="44"/>
      <c r="E313" s="52"/>
      <c r="F313" s="44"/>
      <c r="G313" s="38"/>
      <c r="H313" s="44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spans="1:28" ht="28.5" customHeight="1" x14ac:dyDescent="0.35">
      <c r="A314" s="39"/>
      <c r="B314" s="39"/>
      <c r="C314" s="39"/>
      <c r="D314" s="44"/>
      <c r="E314" s="52"/>
      <c r="F314" s="44"/>
      <c r="G314" s="38"/>
      <c r="H314" s="44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spans="1:28" ht="28.5" customHeight="1" x14ac:dyDescent="0.35">
      <c r="A315" s="39"/>
      <c r="B315" s="39"/>
      <c r="C315" s="39"/>
      <c r="D315" s="44"/>
      <c r="E315" s="52"/>
      <c r="F315" s="44"/>
      <c r="G315" s="38"/>
      <c r="H315" s="44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spans="1:28" ht="28.5" customHeight="1" x14ac:dyDescent="0.35">
      <c r="A316" s="39"/>
      <c r="B316" s="39"/>
      <c r="C316" s="39"/>
      <c r="D316" s="44"/>
      <c r="E316" s="52"/>
      <c r="F316" s="44"/>
      <c r="G316" s="38"/>
      <c r="H316" s="44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spans="1:28" ht="28.5" customHeight="1" x14ac:dyDescent="0.35">
      <c r="A317" s="39"/>
      <c r="B317" s="39"/>
      <c r="C317" s="39"/>
      <c r="D317" s="44"/>
      <c r="E317" s="52"/>
      <c r="F317" s="44"/>
      <c r="G317" s="38"/>
      <c r="H317" s="44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spans="1:28" ht="28.5" customHeight="1" x14ac:dyDescent="0.35">
      <c r="A318" s="39"/>
      <c r="B318" s="39"/>
      <c r="C318" s="39"/>
      <c r="D318" s="44"/>
      <c r="E318" s="52"/>
      <c r="F318" s="44"/>
      <c r="G318" s="38"/>
      <c r="H318" s="44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spans="1:28" ht="28.5" customHeight="1" x14ac:dyDescent="0.35">
      <c r="A319" s="39"/>
      <c r="B319" s="39"/>
      <c r="C319" s="39"/>
      <c r="D319" s="44"/>
      <c r="E319" s="52"/>
      <c r="F319" s="44"/>
      <c r="G319" s="38"/>
      <c r="H319" s="44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spans="1:28" ht="28.5" customHeight="1" x14ac:dyDescent="0.35">
      <c r="A320" s="39"/>
      <c r="B320" s="39"/>
      <c r="C320" s="39"/>
      <c r="D320" s="44"/>
      <c r="E320" s="52"/>
      <c r="F320" s="44"/>
      <c r="G320" s="38"/>
      <c r="H320" s="44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spans="1:28" ht="28.5" customHeight="1" x14ac:dyDescent="0.35">
      <c r="A321" s="39"/>
      <c r="B321" s="39"/>
      <c r="C321" s="39"/>
      <c r="D321" s="44"/>
      <c r="E321" s="52"/>
      <c r="F321" s="44"/>
      <c r="G321" s="38"/>
      <c r="H321" s="44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spans="1:28" ht="28.5" customHeight="1" x14ac:dyDescent="0.35">
      <c r="A322" s="39"/>
      <c r="B322" s="39"/>
      <c r="C322" s="39"/>
      <c r="D322" s="44"/>
      <c r="E322" s="52"/>
      <c r="F322" s="44"/>
      <c r="G322" s="38"/>
      <c r="H322" s="44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spans="1:28" ht="28.5" customHeight="1" x14ac:dyDescent="0.35">
      <c r="A323" s="39"/>
      <c r="B323" s="39"/>
      <c r="C323" s="39"/>
      <c r="D323" s="44"/>
      <c r="E323" s="52"/>
      <c r="F323" s="44"/>
      <c r="G323" s="38"/>
      <c r="H323" s="44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spans="1:28" ht="28.5" customHeight="1" x14ac:dyDescent="0.35">
      <c r="A324" s="39"/>
      <c r="B324" s="39"/>
      <c r="C324" s="39"/>
      <c r="D324" s="44"/>
      <c r="E324" s="52"/>
      <c r="F324" s="44"/>
      <c r="G324" s="38"/>
      <c r="H324" s="44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spans="1:28" ht="28.5" customHeight="1" x14ac:dyDescent="0.35">
      <c r="A325" s="39"/>
      <c r="B325" s="39"/>
      <c r="C325" s="39"/>
      <c r="D325" s="44"/>
      <c r="E325" s="52"/>
      <c r="F325" s="44"/>
      <c r="G325" s="38"/>
      <c r="H325" s="44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spans="1:28" ht="28.5" customHeight="1" x14ac:dyDescent="0.35">
      <c r="A326" s="39"/>
      <c r="B326" s="39"/>
      <c r="C326" s="39"/>
      <c r="D326" s="44"/>
      <c r="E326" s="52"/>
      <c r="F326" s="44"/>
      <c r="G326" s="38"/>
      <c r="H326" s="44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spans="1:28" ht="28.5" customHeight="1" x14ac:dyDescent="0.35">
      <c r="A327" s="39"/>
      <c r="B327" s="39"/>
      <c r="C327" s="39"/>
      <c r="D327" s="44"/>
      <c r="E327" s="52"/>
      <c r="F327" s="44"/>
      <c r="G327" s="38"/>
      <c r="H327" s="44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spans="1:28" ht="28.5" customHeight="1" x14ac:dyDescent="0.35">
      <c r="A328" s="39"/>
      <c r="B328" s="39"/>
      <c r="C328" s="39"/>
      <c r="D328" s="44"/>
      <c r="E328" s="52"/>
      <c r="F328" s="44"/>
      <c r="G328" s="38"/>
      <c r="H328" s="44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spans="1:28" ht="28.5" customHeight="1" x14ac:dyDescent="0.35">
      <c r="A329" s="39"/>
      <c r="B329" s="39"/>
      <c r="C329" s="39"/>
      <c r="D329" s="44"/>
      <c r="E329" s="52"/>
      <c r="F329" s="44"/>
      <c r="G329" s="38"/>
      <c r="H329" s="44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spans="1:28" ht="28.5" customHeight="1" x14ac:dyDescent="0.35">
      <c r="A330" s="39"/>
      <c r="B330" s="39"/>
      <c r="C330" s="39"/>
      <c r="D330" s="44"/>
      <c r="E330" s="52"/>
      <c r="F330" s="44"/>
      <c r="G330" s="38"/>
      <c r="H330" s="44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spans="1:28" ht="28.5" customHeight="1" x14ac:dyDescent="0.35">
      <c r="A331" s="39"/>
      <c r="B331" s="39"/>
      <c r="C331" s="39"/>
      <c r="D331" s="44"/>
      <c r="E331" s="52"/>
      <c r="F331" s="44"/>
      <c r="G331" s="38"/>
      <c r="H331" s="44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spans="1:28" ht="28.5" customHeight="1" x14ac:dyDescent="0.35">
      <c r="A332" s="39"/>
      <c r="B332" s="39"/>
      <c r="C332" s="39"/>
      <c r="D332" s="44"/>
      <c r="E332" s="52"/>
      <c r="F332" s="44"/>
      <c r="G332" s="38"/>
      <c r="H332" s="44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spans="1:28" ht="28.5" customHeight="1" x14ac:dyDescent="0.35">
      <c r="A333" s="39"/>
      <c r="B333" s="39"/>
      <c r="C333" s="39"/>
      <c r="D333" s="44"/>
      <c r="E333" s="52"/>
      <c r="F333" s="44"/>
      <c r="G333" s="38"/>
      <c r="H333" s="44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spans="1:28" ht="28.5" customHeight="1" x14ac:dyDescent="0.35">
      <c r="A334" s="39"/>
      <c r="B334" s="39"/>
      <c r="C334" s="39"/>
      <c r="D334" s="44"/>
      <c r="E334" s="52"/>
      <c r="F334" s="44"/>
      <c r="G334" s="38"/>
      <c r="H334" s="44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spans="1:28" ht="28.5" customHeight="1" x14ac:dyDescent="0.35">
      <c r="A335" s="39"/>
      <c r="B335" s="39"/>
      <c r="C335" s="39"/>
      <c r="D335" s="44"/>
      <c r="E335" s="52"/>
      <c r="F335" s="44"/>
      <c r="G335" s="38"/>
      <c r="H335" s="44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spans="1:28" ht="28.5" customHeight="1" x14ac:dyDescent="0.35">
      <c r="A336" s="39"/>
      <c r="B336" s="39"/>
      <c r="C336" s="39"/>
      <c r="D336" s="44"/>
      <c r="E336" s="52"/>
      <c r="F336" s="44"/>
      <c r="G336" s="38"/>
      <c r="H336" s="44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spans="1:28" ht="28.5" customHeight="1" x14ac:dyDescent="0.35">
      <c r="A337" s="39"/>
      <c r="B337" s="39"/>
      <c r="C337" s="39"/>
      <c r="D337" s="44"/>
      <c r="E337" s="52"/>
      <c r="F337" s="44"/>
      <c r="G337" s="38"/>
      <c r="H337" s="44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spans="1:28" ht="28.5" customHeight="1" x14ac:dyDescent="0.35">
      <c r="A338" s="39"/>
      <c r="B338" s="39"/>
      <c r="C338" s="39"/>
      <c r="D338" s="44"/>
      <c r="E338" s="52"/>
      <c r="F338" s="44"/>
      <c r="G338" s="38"/>
      <c r="H338" s="44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spans="1:28" ht="28.5" customHeight="1" x14ac:dyDescent="0.35">
      <c r="A339" s="39"/>
      <c r="B339" s="39"/>
      <c r="C339" s="39"/>
      <c r="D339" s="44"/>
      <c r="E339" s="52"/>
      <c r="F339" s="44"/>
      <c r="G339" s="38"/>
      <c r="H339" s="44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spans="1:28" ht="28.5" customHeight="1" x14ac:dyDescent="0.35">
      <c r="A340" s="39"/>
      <c r="B340" s="39"/>
      <c r="C340" s="39"/>
      <c r="D340" s="44"/>
      <c r="E340" s="52"/>
      <c r="F340" s="44"/>
      <c r="G340" s="38"/>
      <c r="H340" s="44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spans="1:28" ht="28.5" customHeight="1" x14ac:dyDescent="0.35">
      <c r="A341" s="39"/>
      <c r="B341" s="39"/>
      <c r="C341" s="39"/>
      <c r="D341" s="44"/>
      <c r="E341" s="52"/>
      <c r="F341" s="44"/>
      <c r="G341" s="38"/>
      <c r="H341" s="44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spans="1:28" ht="28.5" customHeight="1" x14ac:dyDescent="0.35">
      <c r="A342" s="39"/>
      <c r="B342" s="39"/>
      <c r="C342" s="39"/>
      <c r="D342" s="44"/>
      <c r="E342" s="52"/>
      <c r="F342" s="44"/>
      <c r="G342" s="38"/>
      <c r="H342" s="44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spans="1:28" ht="28.5" customHeight="1" x14ac:dyDescent="0.35">
      <c r="A343" s="39"/>
      <c r="B343" s="39"/>
      <c r="C343" s="39"/>
      <c r="D343" s="44"/>
      <c r="E343" s="52"/>
      <c r="F343" s="44"/>
      <c r="G343" s="38"/>
      <c r="H343" s="44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spans="1:28" ht="28.5" customHeight="1" x14ac:dyDescent="0.35">
      <c r="A344" s="39"/>
      <c r="B344" s="39"/>
      <c r="C344" s="39"/>
      <c r="D344" s="44"/>
      <c r="E344" s="52"/>
      <c r="F344" s="44"/>
      <c r="G344" s="38"/>
      <c r="H344" s="44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spans="1:28" ht="28.5" customHeight="1" x14ac:dyDescent="0.35">
      <c r="A345" s="39"/>
      <c r="B345" s="39"/>
      <c r="C345" s="39"/>
      <c r="D345" s="44"/>
      <c r="E345" s="52"/>
      <c r="F345" s="44"/>
      <c r="G345" s="38"/>
      <c r="H345" s="44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spans="1:28" ht="28.5" customHeight="1" x14ac:dyDescent="0.35">
      <c r="A346" s="39"/>
      <c r="B346" s="39"/>
      <c r="C346" s="39"/>
      <c r="D346" s="44"/>
      <c r="E346" s="52"/>
      <c r="F346" s="44"/>
      <c r="G346" s="38"/>
      <c r="H346" s="44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spans="1:28" ht="28.5" customHeight="1" x14ac:dyDescent="0.35">
      <c r="A347" s="39"/>
      <c r="B347" s="39"/>
      <c r="C347" s="39"/>
      <c r="D347" s="44"/>
      <c r="E347" s="52"/>
      <c r="F347" s="44"/>
      <c r="G347" s="38"/>
      <c r="H347" s="44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spans="1:28" ht="28.5" customHeight="1" x14ac:dyDescent="0.35">
      <c r="A348" s="39"/>
      <c r="B348" s="39"/>
      <c r="C348" s="39"/>
      <c r="D348" s="44"/>
      <c r="E348" s="52"/>
      <c r="F348" s="44"/>
      <c r="G348" s="38"/>
      <c r="H348" s="44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spans="1:28" ht="28.5" customHeight="1" x14ac:dyDescent="0.35">
      <c r="A349" s="39"/>
      <c r="B349" s="39"/>
      <c r="C349" s="39"/>
      <c r="D349" s="44"/>
      <c r="E349" s="52"/>
      <c r="F349" s="44"/>
      <c r="G349" s="38"/>
      <c r="H349" s="44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spans="1:28" ht="28.5" customHeight="1" x14ac:dyDescent="0.35">
      <c r="A350" s="39"/>
      <c r="B350" s="39"/>
      <c r="C350" s="39"/>
      <c r="D350" s="44"/>
      <c r="E350" s="52"/>
      <c r="F350" s="44"/>
      <c r="G350" s="38"/>
      <c r="H350" s="44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spans="1:28" ht="28.5" customHeight="1" x14ac:dyDescent="0.35">
      <c r="A351" s="39"/>
      <c r="B351" s="39"/>
      <c r="C351" s="39"/>
      <c r="D351" s="44"/>
      <c r="E351" s="52"/>
      <c r="F351" s="44"/>
      <c r="G351" s="38"/>
      <c r="H351" s="44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spans="1:28" ht="28.5" customHeight="1" x14ac:dyDescent="0.35">
      <c r="A352" s="39"/>
      <c r="B352" s="39"/>
      <c r="C352" s="39"/>
      <c r="D352" s="44"/>
      <c r="E352" s="52"/>
      <c r="F352" s="44"/>
      <c r="G352" s="38"/>
      <c r="H352" s="44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spans="1:28" ht="28.5" customHeight="1" x14ac:dyDescent="0.35">
      <c r="A353" s="39"/>
      <c r="B353" s="39"/>
      <c r="C353" s="39"/>
      <c r="D353" s="44"/>
      <c r="E353" s="52"/>
      <c r="F353" s="44"/>
      <c r="G353" s="38"/>
      <c r="H353" s="44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spans="1:28" ht="28.5" customHeight="1" x14ac:dyDescent="0.35">
      <c r="A354" s="39"/>
      <c r="B354" s="39"/>
      <c r="C354" s="39"/>
      <c r="D354" s="44"/>
      <c r="E354" s="52"/>
      <c r="F354" s="44"/>
      <c r="G354" s="38"/>
      <c r="H354" s="44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spans="1:28" ht="28.5" customHeight="1" x14ac:dyDescent="0.35">
      <c r="A355" s="39"/>
      <c r="B355" s="39"/>
      <c r="C355" s="39"/>
      <c r="D355" s="44"/>
      <c r="E355" s="52"/>
      <c r="F355" s="44"/>
      <c r="G355" s="38"/>
      <c r="H355" s="44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spans="1:28" ht="28.5" customHeight="1" x14ac:dyDescent="0.35">
      <c r="A356" s="39"/>
      <c r="B356" s="39"/>
      <c r="C356" s="39"/>
      <c r="D356" s="44"/>
      <c r="E356" s="52"/>
      <c r="F356" s="44"/>
      <c r="G356" s="38"/>
      <c r="H356" s="44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spans="1:28" ht="28.5" customHeight="1" x14ac:dyDescent="0.35">
      <c r="A357" s="39"/>
      <c r="B357" s="39"/>
      <c r="C357" s="39"/>
      <c r="D357" s="44"/>
      <c r="E357" s="52"/>
      <c r="F357" s="44"/>
      <c r="G357" s="38"/>
      <c r="H357" s="44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spans="1:28" ht="28.5" customHeight="1" x14ac:dyDescent="0.35">
      <c r="A358" s="39"/>
      <c r="B358" s="39"/>
      <c r="C358" s="39"/>
      <c r="D358" s="44"/>
      <c r="E358" s="52"/>
      <c r="F358" s="44"/>
      <c r="G358" s="38"/>
      <c r="H358" s="44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spans="1:28" ht="28.5" customHeight="1" x14ac:dyDescent="0.35">
      <c r="A359" s="39"/>
      <c r="B359" s="39"/>
      <c r="C359" s="39"/>
      <c r="D359" s="44"/>
      <c r="E359" s="52"/>
      <c r="F359" s="44"/>
      <c r="G359" s="38"/>
      <c r="H359" s="44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spans="1:28" ht="28.5" customHeight="1" x14ac:dyDescent="0.35">
      <c r="A360" s="39"/>
      <c r="B360" s="39"/>
      <c r="C360" s="39"/>
      <c r="D360" s="44"/>
      <c r="E360" s="52"/>
      <c r="F360" s="44"/>
      <c r="G360" s="38"/>
      <c r="H360" s="44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spans="1:28" ht="28.5" customHeight="1" x14ac:dyDescent="0.35">
      <c r="A361" s="39"/>
      <c r="B361" s="39"/>
      <c r="C361" s="39"/>
      <c r="D361" s="44"/>
      <c r="E361" s="52"/>
      <c r="F361" s="44"/>
      <c r="G361" s="38"/>
      <c r="H361" s="44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spans="1:28" ht="28.5" customHeight="1" x14ac:dyDescent="0.35">
      <c r="A362" s="39"/>
      <c r="B362" s="39"/>
      <c r="C362" s="39"/>
      <c r="D362" s="44"/>
      <c r="E362" s="52"/>
      <c r="F362" s="44"/>
      <c r="G362" s="38"/>
      <c r="H362" s="44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spans="1:28" ht="28.5" customHeight="1" x14ac:dyDescent="0.35">
      <c r="A363" s="39"/>
      <c r="B363" s="39"/>
      <c r="C363" s="39"/>
      <c r="D363" s="44"/>
      <c r="E363" s="52"/>
      <c r="F363" s="44"/>
      <c r="G363" s="38"/>
      <c r="H363" s="44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spans="1:28" ht="28.5" customHeight="1" x14ac:dyDescent="0.35">
      <c r="A364" s="39"/>
      <c r="B364" s="39"/>
      <c r="C364" s="39"/>
      <c r="D364" s="44"/>
      <c r="E364" s="52"/>
      <c r="F364" s="44"/>
      <c r="G364" s="38"/>
      <c r="H364" s="44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spans="1:28" ht="28.5" customHeight="1" x14ac:dyDescent="0.35">
      <c r="A365" s="39"/>
      <c r="B365" s="39"/>
      <c r="C365" s="39"/>
      <c r="D365" s="44"/>
      <c r="E365" s="52"/>
      <c r="F365" s="44"/>
      <c r="G365" s="38"/>
      <c r="H365" s="44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spans="1:28" ht="28.5" customHeight="1" x14ac:dyDescent="0.35">
      <c r="A366" s="39"/>
      <c r="B366" s="39"/>
      <c r="C366" s="39"/>
      <c r="D366" s="44"/>
      <c r="E366" s="52"/>
      <c r="F366" s="44"/>
      <c r="G366" s="38"/>
      <c r="H366" s="44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spans="1:28" ht="28.5" customHeight="1" x14ac:dyDescent="0.35">
      <c r="A367" s="39"/>
      <c r="B367" s="39"/>
      <c r="C367" s="39"/>
      <c r="D367" s="44"/>
      <c r="E367" s="52"/>
      <c r="F367" s="44"/>
      <c r="G367" s="38"/>
      <c r="H367" s="44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spans="1:28" ht="28.5" customHeight="1" x14ac:dyDescent="0.35">
      <c r="A368" s="39"/>
      <c r="B368" s="39"/>
      <c r="C368" s="39"/>
      <c r="D368" s="44"/>
      <c r="E368" s="52"/>
      <c r="F368" s="44"/>
      <c r="G368" s="38"/>
      <c r="H368" s="44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spans="1:28" ht="28.5" customHeight="1" x14ac:dyDescent="0.35">
      <c r="A369" s="39"/>
      <c r="B369" s="39"/>
      <c r="C369" s="39"/>
      <c r="D369" s="44"/>
      <c r="E369" s="52"/>
      <c r="F369" s="44"/>
      <c r="G369" s="38"/>
      <c r="H369" s="44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spans="1:28" ht="28.5" customHeight="1" x14ac:dyDescent="0.35">
      <c r="A370" s="39"/>
      <c r="B370" s="39"/>
      <c r="C370" s="39"/>
      <c r="D370" s="44"/>
      <c r="E370" s="52"/>
      <c r="F370" s="44"/>
      <c r="G370" s="38"/>
      <c r="H370" s="44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spans="1:28" ht="28.5" customHeight="1" x14ac:dyDescent="0.35">
      <c r="A371" s="39"/>
      <c r="B371" s="39"/>
      <c r="C371" s="39"/>
      <c r="D371" s="44"/>
      <c r="E371" s="52"/>
      <c r="F371" s="44"/>
      <c r="G371" s="38"/>
      <c r="H371" s="44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spans="1:28" ht="28.5" customHeight="1" x14ac:dyDescent="0.35">
      <c r="A372" s="39"/>
      <c r="B372" s="39"/>
      <c r="C372" s="39"/>
      <c r="D372" s="44"/>
      <c r="E372" s="52"/>
      <c r="F372" s="44"/>
      <c r="G372" s="38"/>
      <c r="H372" s="44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spans="1:28" ht="28.5" customHeight="1" x14ac:dyDescent="0.35">
      <c r="A373" s="39"/>
      <c r="B373" s="39"/>
      <c r="C373" s="39"/>
      <c r="D373" s="44"/>
      <c r="E373" s="52"/>
      <c r="F373" s="44"/>
      <c r="G373" s="38"/>
      <c r="H373" s="44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spans="1:28" ht="28.5" customHeight="1" x14ac:dyDescent="0.35">
      <c r="A374" s="39"/>
      <c r="B374" s="39"/>
      <c r="C374" s="39"/>
      <c r="D374" s="44"/>
      <c r="E374" s="52"/>
      <c r="F374" s="44"/>
      <c r="G374" s="38"/>
      <c r="H374" s="44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spans="1:28" ht="28.5" customHeight="1" x14ac:dyDescent="0.35">
      <c r="A375" s="39"/>
      <c r="B375" s="39"/>
      <c r="C375" s="39"/>
      <c r="D375" s="44"/>
      <c r="E375" s="52"/>
      <c r="F375" s="44"/>
      <c r="G375" s="38"/>
      <c r="H375" s="44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spans="1:28" ht="28.5" customHeight="1" x14ac:dyDescent="0.35">
      <c r="A376" s="39"/>
      <c r="B376" s="39"/>
      <c r="C376" s="39"/>
      <c r="D376" s="44"/>
      <c r="E376" s="52"/>
      <c r="F376" s="44"/>
      <c r="G376" s="38"/>
      <c r="H376" s="44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spans="1:28" ht="28.5" customHeight="1" x14ac:dyDescent="0.35">
      <c r="A377" s="39"/>
      <c r="B377" s="39"/>
      <c r="C377" s="39"/>
      <c r="D377" s="44"/>
      <c r="E377" s="52"/>
      <c r="F377" s="44"/>
      <c r="G377" s="38"/>
      <c r="H377" s="44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spans="1:28" ht="28.5" customHeight="1" x14ac:dyDescent="0.35">
      <c r="A378" s="39"/>
      <c r="B378" s="39"/>
      <c r="C378" s="39"/>
      <c r="D378" s="44"/>
      <c r="E378" s="52"/>
      <c r="F378" s="44"/>
      <c r="G378" s="38"/>
      <c r="H378" s="44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spans="1:28" ht="28.5" customHeight="1" x14ac:dyDescent="0.35">
      <c r="A379" s="39"/>
      <c r="B379" s="39"/>
      <c r="C379" s="39"/>
      <c r="D379" s="44"/>
      <c r="E379" s="52"/>
      <c r="F379" s="44"/>
      <c r="G379" s="38"/>
      <c r="H379" s="44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spans="1:28" ht="28.5" customHeight="1" x14ac:dyDescent="0.35">
      <c r="A380" s="39"/>
      <c r="B380" s="39"/>
      <c r="C380" s="39"/>
      <c r="D380" s="44"/>
      <c r="E380" s="52"/>
      <c r="F380" s="44"/>
      <c r="G380" s="38"/>
      <c r="H380" s="44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spans="1:28" ht="28.5" customHeight="1" x14ac:dyDescent="0.35">
      <c r="A381" s="39"/>
      <c r="B381" s="39"/>
      <c r="C381" s="39"/>
      <c r="D381" s="44"/>
      <c r="E381" s="52"/>
      <c r="F381" s="44"/>
      <c r="G381" s="38"/>
      <c r="H381" s="44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spans="1:28" ht="28.5" customHeight="1" x14ac:dyDescent="0.35">
      <c r="A382" s="39"/>
      <c r="B382" s="39"/>
      <c r="C382" s="39"/>
      <c r="D382" s="44"/>
      <c r="E382" s="52"/>
      <c r="F382" s="44"/>
      <c r="G382" s="38"/>
      <c r="H382" s="44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spans="1:28" ht="28.5" customHeight="1" x14ac:dyDescent="0.35">
      <c r="A383" s="39"/>
      <c r="B383" s="39"/>
      <c r="C383" s="39"/>
      <c r="D383" s="44"/>
      <c r="E383" s="52"/>
      <c r="F383" s="44"/>
      <c r="G383" s="38"/>
      <c r="H383" s="44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spans="1:28" ht="28.5" customHeight="1" x14ac:dyDescent="0.35">
      <c r="A384" s="39"/>
      <c r="B384" s="39"/>
      <c r="C384" s="39"/>
      <c r="D384" s="44"/>
      <c r="E384" s="52"/>
      <c r="F384" s="44"/>
      <c r="G384" s="38"/>
      <c r="H384" s="44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spans="1:28" ht="28.5" customHeight="1" x14ac:dyDescent="0.35">
      <c r="A385" s="39"/>
      <c r="B385" s="39"/>
      <c r="C385" s="39"/>
      <c r="D385" s="44"/>
      <c r="E385" s="52"/>
      <c r="F385" s="44"/>
      <c r="G385" s="38"/>
      <c r="H385" s="44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spans="1:28" ht="28.5" customHeight="1" x14ac:dyDescent="0.35">
      <c r="A386" s="39"/>
      <c r="B386" s="39"/>
      <c r="C386" s="39"/>
      <c r="D386" s="44"/>
      <c r="E386" s="52"/>
      <c r="F386" s="44"/>
      <c r="G386" s="38"/>
      <c r="H386" s="44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spans="1:28" ht="28.5" customHeight="1" x14ac:dyDescent="0.35">
      <c r="A387" s="39"/>
      <c r="B387" s="39"/>
      <c r="C387" s="39"/>
      <c r="D387" s="44"/>
      <c r="E387" s="52"/>
      <c r="F387" s="44"/>
      <c r="G387" s="38"/>
      <c r="H387" s="44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spans="1:28" ht="28.5" customHeight="1" x14ac:dyDescent="0.35">
      <c r="A388" s="39"/>
      <c r="B388" s="39"/>
      <c r="C388" s="39"/>
      <c r="D388" s="44"/>
      <c r="E388" s="52"/>
      <c r="F388" s="44"/>
      <c r="G388" s="38"/>
      <c r="H388" s="44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spans="1:28" ht="28.5" customHeight="1" x14ac:dyDescent="0.35">
      <c r="A389" s="39"/>
      <c r="B389" s="39"/>
      <c r="C389" s="39"/>
      <c r="D389" s="44"/>
      <c r="E389" s="52"/>
      <c r="F389" s="44"/>
      <c r="G389" s="38"/>
      <c r="H389" s="44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spans="1:28" ht="28.5" customHeight="1" x14ac:dyDescent="0.35">
      <c r="A390" s="39"/>
      <c r="B390" s="39"/>
      <c r="C390" s="39"/>
      <c r="D390" s="44"/>
      <c r="E390" s="52"/>
      <c r="F390" s="44"/>
      <c r="G390" s="38"/>
      <c r="H390" s="44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spans="1:28" ht="28.5" customHeight="1" x14ac:dyDescent="0.35">
      <c r="A391" s="39"/>
      <c r="B391" s="39"/>
      <c r="C391" s="39"/>
      <c r="D391" s="44"/>
      <c r="E391" s="52"/>
      <c r="F391" s="44"/>
      <c r="G391" s="38"/>
      <c r="H391" s="44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spans="1:28" ht="28.5" customHeight="1" x14ac:dyDescent="0.35">
      <c r="A392" s="39"/>
      <c r="B392" s="39"/>
      <c r="C392" s="39"/>
      <c r="D392" s="44"/>
      <c r="E392" s="52"/>
      <c r="F392" s="44"/>
      <c r="G392" s="38"/>
      <c r="H392" s="44"/>
      <c r="I392" s="39"/>
      <c r="J392" s="39"/>
      <c r="K392" s="39"/>
      <c r="L392" s="39"/>
      <c r="M392" s="39"/>
      <c r="N392" s="39"/>
      <c r="O392" s="39"/>
      <c r="P392" s="39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</row>
    <row r="393" spans="1:28" ht="28.5" customHeight="1" x14ac:dyDescent="0.35">
      <c r="A393" s="39"/>
      <c r="B393" s="39"/>
      <c r="C393" s="39"/>
      <c r="D393" s="44"/>
      <c r="E393" s="52"/>
      <c r="F393" s="44"/>
      <c r="G393" s="38"/>
      <c r="H393" s="44"/>
      <c r="I393" s="39"/>
      <c r="J393" s="122"/>
      <c r="K393" s="39"/>
      <c r="L393" s="39"/>
      <c r="M393" s="39"/>
      <c r="N393" s="39"/>
      <c r="O393" s="39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</row>
    <row r="394" spans="1:28" ht="28.5" customHeight="1" x14ac:dyDescent="0.35">
      <c r="A394" s="39"/>
      <c r="B394" s="39"/>
      <c r="C394" s="39"/>
      <c r="D394" s="44"/>
      <c r="E394" s="52"/>
      <c r="F394" s="44"/>
      <c r="G394" s="38"/>
      <c r="H394" s="44"/>
      <c r="I394" s="39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</row>
    <row r="395" spans="1:28" ht="28.5" customHeight="1" x14ac:dyDescent="0.35">
      <c r="A395" s="39"/>
      <c r="B395" s="39"/>
      <c r="C395" s="39"/>
      <c r="D395" s="44"/>
      <c r="E395" s="52"/>
      <c r="F395" s="44"/>
      <c r="G395" s="38"/>
      <c r="H395" s="44"/>
      <c r="I395" s="39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</row>
    <row r="396" spans="1:28" ht="28.5" customHeight="1" x14ac:dyDescent="0.35">
      <c r="A396" s="39"/>
      <c r="B396" s="39"/>
      <c r="C396" s="39"/>
      <c r="D396" s="44"/>
      <c r="E396" s="52"/>
      <c r="F396" s="44"/>
      <c r="G396" s="38"/>
      <c r="H396" s="44"/>
      <c r="I396" s="39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</row>
    <row r="397" spans="1:28" ht="28.5" customHeight="1" x14ac:dyDescent="0.35">
      <c r="A397" s="39"/>
      <c r="B397" s="39"/>
      <c r="C397" s="39"/>
      <c r="D397" s="44"/>
      <c r="E397" s="52"/>
      <c r="F397" s="44"/>
      <c r="G397" s="38"/>
      <c r="H397" s="44"/>
      <c r="I397" s="39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</row>
    <row r="398" spans="1:28" ht="28.5" customHeight="1" x14ac:dyDescent="0.35">
      <c r="A398" s="39"/>
      <c r="B398" s="39"/>
      <c r="C398" s="39"/>
      <c r="D398" s="44"/>
      <c r="E398" s="52"/>
      <c r="F398" s="44"/>
      <c r="G398" s="38"/>
      <c r="H398" s="44"/>
      <c r="I398" s="39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</row>
    <row r="399" spans="1:28" ht="28.5" customHeight="1" x14ac:dyDescent="0.35">
      <c r="A399" s="39"/>
      <c r="B399" s="39"/>
      <c r="C399" s="39"/>
      <c r="D399" s="44"/>
      <c r="E399" s="52"/>
      <c r="F399" s="44"/>
      <c r="G399" s="38"/>
      <c r="H399" s="44"/>
      <c r="I399" s="39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</row>
    <row r="400" spans="1:28" ht="28.5" customHeight="1" x14ac:dyDescent="0.35">
      <c r="A400" s="39"/>
      <c r="B400" s="39"/>
      <c r="C400" s="39"/>
      <c r="D400" s="44"/>
      <c r="E400" s="52"/>
      <c r="F400" s="44"/>
      <c r="G400" s="38"/>
      <c r="H400" s="44"/>
      <c r="I400" s="39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</row>
    <row r="401" spans="1:28" ht="28.5" customHeight="1" x14ac:dyDescent="0.35">
      <c r="A401" s="39"/>
      <c r="B401" s="39"/>
      <c r="C401" s="39"/>
      <c r="D401" s="44"/>
      <c r="E401" s="52"/>
      <c r="F401" s="44"/>
      <c r="G401" s="38"/>
      <c r="H401" s="44"/>
      <c r="I401" s="39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</row>
    <row r="402" spans="1:28" ht="28.5" customHeight="1" x14ac:dyDescent="0.35">
      <c r="A402" s="39"/>
      <c r="B402" s="39"/>
      <c r="C402" s="39"/>
      <c r="D402" s="44"/>
      <c r="E402" s="52"/>
      <c r="F402" s="44"/>
      <c r="G402" s="38"/>
      <c r="H402" s="44"/>
      <c r="I402" s="39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</row>
    <row r="403" spans="1:28" ht="28.5" customHeight="1" x14ac:dyDescent="0.35">
      <c r="A403" s="39"/>
      <c r="B403" s="39"/>
      <c r="C403" s="39"/>
      <c r="D403" s="44"/>
      <c r="E403" s="52"/>
      <c r="F403" s="44"/>
      <c r="G403" s="38"/>
      <c r="H403" s="44"/>
      <c r="I403" s="39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</row>
    <row r="404" spans="1:28" ht="28.5" customHeight="1" x14ac:dyDescent="0.35">
      <c r="A404" s="39"/>
      <c r="B404" s="39"/>
      <c r="C404" s="39"/>
      <c r="D404" s="44"/>
      <c r="E404" s="52"/>
      <c r="F404" s="44"/>
      <c r="G404" s="38"/>
      <c r="H404" s="44"/>
      <c r="I404" s="39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</row>
    <row r="405" spans="1:28" ht="28.5" customHeight="1" x14ac:dyDescent="0.35">
      <c r="A405" s="39"/>
      <c r="B405" s="39"/>
      <c r="C405" s="39"/>
      <c r="D405" s="44"/>
      <c r="E405" s="52"/>
      <c r="F405" s="44"/>
      <c r="G405" s="38"/>
      <c r="H405" s="44"/>
      <c r="I405" s="39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</row>
    <row r="406" spans="1:28" ht="28.5" customHeight="1" x14ac:dyDescent="0.35">
      <c r="A406" s="39"/>
      <c r="B406" s="39"/>
      <c r="C406" s="39"/>
      <c r="D406" s="44"/>
      <c r="E406" s="52"/>
      <c r="F406" s="44"/>
      <c r="G406" s="38"/>
      <c r="H406" s="44"/>
      <c r="I406" s="39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</row>
    <row r="407" spans="1:28" ht="28.5" customHeight="1" x14ac:dyDescent="0.35">
      <c r="A407" s="39"/>
      <c r="B407" s="39"/>
      <c r="C407" s="39"/>
      <c r="D407" s="44"/>
      <c r="E407" s="52"/>
      <c r="F407" s="44"/>
      <c r="G407" s="38"/>
      <c r="H407" s="44"/>
      <c r="I407" s="39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</row>
    <row r="408" spans="1:28" ht="28.5" customHeight="1" x14ac:dyDescent="0.35">
      <c r="A408" s="39"/>
      <c r="B408" s="39"/>
      <c r="C408" s="39"/>
      <c r="D408" s="44"/>
      <c r="E408" s="52"/>
      <c r="F408" s="44"/>
      <c r="G408" s="38"/>
      <c r="H408" s="44"/>
      <c r="I408" s="39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</row>
    <row r="409" spans="1:28" ht="28.5" customHeight="1" x14ac:dyDescent="0.35">
      <c r="A409" s="39"/>
      <c r="B409" s="39"/>
      <c r="C409" s="39"/>
      <c r="D409" s="44"/>
      <c r="E409" s="52"/>
      <c r="F409" s="44"/>
      <c r="G409" s="38"/>
      <c r="H409" s="44"/>
      <c r="I409" s="39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</row>
    <row r="410" spans="1:28" ht="28.5" customHeight="1" x14ac:dyDescent="0.35">
      <c r="A410" s="39"/>
      <c r="B410" s="39"/>
      <c r="C410" s="39"/>
      <c r="D410" s="44"/>
      <c r="E410" s="52"/>
      <c r="F410" s="44"/>
      <c r="G410" s="38"/>
      <c r="H410" s="44"/>
      <c r="I410" s="39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</row>
    <row r="411" spans="1:28" ht="28.5" customHeight="1" x14ac:dyDescent="0.35">
      <c r="A411" s="39"/>
      <c r="B411" s="39"/>
      <c r="C411" s="39"/>
      <c r="D411" s="44"/>
      <c r="E411" s="52"/>
      <c r="F411" s="44"/>
      <c r="G411" s="38"/>
      <c r="H411" s="44"/>
      <c r="I411" s="39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</row>
    <row r="412" spans="1:28" ht="28.5" customHeight="1" x14ac:dyDescent="0.35">
      <c r="A412" s="39"/>
      <c r="B412" s="39"/>
      <c r="C412" s="39"/>
      <c r="D412" s="44"/>
      <c r="E412" s="52"/>
      <c r="F412" s="44"/>
      <c r="G412" s="38"/>
      <c r="H412" s="44"/>
      <c r="I412" s="39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</row>
    <row r="413" spans="1:28" ht="28.5" customHeight="1" x14ac:dyDescent="0.35">
      <c r="A413" s="39"/>
      <c r="B413" s="39"/>
      <c r="C413" s="39"/>
      <c r="D413" s="44"/>
      <c r="E413" s="52"/>
      <c r="F413" s="44"/>
      <c r="G413" s="38"/>
      <c r="H413" s="44"/>
      <c r="I413" s="39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</row>
    <row r="414" spans="1:28" ht="28.5" customHeight="1" x14ac:dyDescent="0.35">
      <c r="A414" s="39"/>
      <c r="B414" s="39"/>
      <c r="C414" s="39"/>
      <c r="D414" s="44"/>
      <c r="E414" s="52"/>
      <c r="F414" s="44"/>
      <c r="G414" s="38"/>
      <c r="H414" s="44"/>
      <c r="I414" s="39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</row>
    <row r="415" spans="1:28" ht="28.5" customHeight="1" x14ac:dyDescent="0.35">
      <c r="A415" s="39"/>
      <c r="B415" s="39"/>
      <c r="C415" s="39"/>
      <c r="D415" s="44"/>
      <c r="E415" s="52"/>
      <c r="F415" s="44"/>
      <c r="G415" s="38"/>
      <c r="H415" s="44"/>
      <c r="I415" s="39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</row>
    <row r="416" spans="1:28" ht="28.5" customHeight="1" x14ac:dyDescent="0.35">
      <c r="A416" s="39"/>
      <c r="B416" s="39"/>
      <c r="C416" s="39"/>
      <c r="D416" s="44"/>
      <c r="E416" s="52"/>
      <c r="F416" s="44"/>
      <c r="G416" s="38"/>
      <c r="H416" s="44"/>
      <c r="I416" s="39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</row>
    <row r="417" spans="1:28" ht="28.5" customHeight="1" x14ac:dyDescent="0.35">
      <c r="A417" s="39"/>
      <c r="B417" s="39"/>
      <c r="C417" s="39"/>
      <c r="D417" s="44"/>
      <c r="E417" s="52"/>
      <c r="F417" s="44"/>
      <c r="G417" s="38"/>
      <c r="H417" s="44"/>
      <c r="I417" s="39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</row>
    <row r="418" spans="1:28" ht="28.5" customHeight="1" x14ac:dyDescent="0.35">
      <c r="A418" s="39"/>
      <c r="B418" s="39"/>
      <c r="C418" s="39"/>
      <c r="D418" s="44"/>
      <c r="E418" s="52"/>
      <c r="F418" s="44"/>
      <c r="G418" s="38"/>
      <c r="H418" s="44"/>
      <c r="I418" s="39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</row>
    <row r="419" spans="1:28" ht="28.5" customHeight="1" x14ac:dyDescent="0.35">
      <c r="A419" s="39"/>
      <c r="B419" s="39"/>
      <c r="C419" s="39"/>
      <c r="D419" s="44"/>
      <c r="E419" s="52"/>
      <c r="F419" s="44"/>
      <c r="G419" s="38"/>
      <c r="H419" s="44"/>
      <c r="I419" s="39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</row>
    <row r="420" spans="1:28" ht="28.5" customHeight="1" x14ac:dyDescent="0.35">
      <c r="A420" s="39"/>
      <c r="B420" s="39"/>
      <c r="C420" s="39"/>
      <c r="D420" s="44"/>
      <c r="E420" s="52"/>
      <c r="F420" s="44"/>
      <c r="G420" s="38"/>
      <c r="H420" s="44"/>
      <c r="I420" s="39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</row>
    <row r="421" spans="1:28" ht="28.5" customHeight="1" x14ac:dyDescent="0.35">
      <c r="A421" s="39"/>
      <c r="B421" s="39"/>
      <c r="C421" s="39"/>
      <c r="D421" s="44"/>
      <c r="E421" s="52"/>
      <c r="F421" s="44"/>
      <c r="G421" s="38"/>
      <c r="H421" s="44"/>
      <c r="I421" s="39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</row>
    <row r="422" spans="1:28" ht="28.5" customHeight="1" x14ac:dyDescent="0.35">
      <c r="A422" s="39"/>
      <c r="B422" s="39"/>
      <c r="C422" s="39"/>
      <c r="D422" s="44"/>
      <c r="E422" s="52"/>
      <c r="F422" s="44"/>
      <c r="G422" s="38"/>
      <c r="H422" s="44"/>
      <c r="I422" s="39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</row>
    <row r="423" spans="1:28" ht="28.5" customHeight="1" x14ac:dyDescent="0.35">
      <c r="A423" s="39"/>
      <c r="B423" s="39"/>
      <c r="C423" s="39"/>
      <c r="D423" s="44"/>
      <c r="E423" s="52"/>
      <c r="F423" s="44"/>
      <c r="G423" s="38"/>
      <c r="H423" s="44"/>
      <c r="I423" s="39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</row>
    <row r="424" spans="1:28" ht="28.5" customHeight="1" x14ac:dyDescent="0.35">
      <c r="A424" s="39"/>
      <c r="B424" s="39"/>
      <c r="C424" s="39"/>
      <c r="D424" s="44"/>
      <c r="E424" s="52"/>
      <c r="F424" s="44"/>
      <c r="G424" s="38"/>
      <c r="H424" s="44"/>
      <c r="I424" s="39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</row>
    <row r="425" spans="1:28" ht="28.5" customHeight="1" x14ac:dyDescent="0.35">
      <c r="A425" s="39"/>
      <c r="B425" s="39"/>
      <c r="C425" s="39"/>
      <c r="D425" s="44"/>
      <c r="E425" s="52"/>
      <c r="F425" s="44"/>
      <c r="G425" s="38"/>
      <c r="H425" s="44"/>
      <c r="I425" s="39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</row>
    <row r="426" spans="1:28" ht="28.5" customHeight="1" x14ac:dyDescent="0.35">
      <c r="A426" s="39"/>
      <c r="B426" s="39"/>
      <c r="C426" s="39"/>
      <c r="D426" s="44"/>
      <c r="E426" s="52"/>
      <c r="F426" s="44"/>
      <c r="G426" s="38"/>
      <c r="H426" s="44"/>
      <c r="I426" s="39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</row>
    <row r="427" spans="1:28" ht="28.5" customHeight="1" x14ac:dyDescent="0.35">
      <c r="A427" s="122"/>
      <c r="B427" s="122"/>
      <c r="C427" s="122"/>
      <c r="D427" s="123"/>
      <c r="E427" s="124"/>
      <c r="F427" s="123"/>
      <c r="G427" s="125"/>
      <c r="H427" s="123"/>
      <c r="I427" s="39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</row>
    <row r="428" spans="1:28" ht="28.5" customHeight="1" x14ac:dyDescent="0.35">
      <c r="A428" s="122"/>
      <c r="B428" s="122"/>
      <c r="C428" s="122"/>
      <c r="D428" s="123"/>
      <c r="E428" s="124"/>
      <c r="F428" s="123"/>
      <c r="G428" s="125"/>
      <c r="H428" s="123"/>
      <c r="I428" s="39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</row>
    <row r="429" spans="1:28" ht="28.5" customHeight="1" x14ac:dyDescent="0.35">
      <c r="A429" s="122"/>
      <c r="B429" s="122"/>
      <c r="C429" s="122"/>
      <c r="D429" s="123"/>
      <c r="E429" s="124"/>
      <c r="F429" s="123"/>
      <c r="G429" s="125"/>
      <c r="H429" s="123"/>
      <c r="I429" s="39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</row>
    <row r="430" spans="1:28" ht="28.5" customHeight="1" x14ac:dyDescent="0.35">
      <c r="A430" s="122"/>
      <c r="B430" s="122"/>
      <c r="C430" s="122"/>
      <c r="D430" s="123"/>
      <c r="E430" s="124"/>
      <c r="F430" s="123"/>
      <c r="G430" s="125"/>
      <c r="H430" s="123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</row>
    <row r="431" spans="1:28" ht="28.5" customHeight="1" x14ac:dyDescent="0.35">
      <c r="A431" s="122"/>
      <c r="B431" s="122"/>
      <c r="C431" s="122"/>
      <c r="D431" s="123"/>
      <c r="E431" s="124"/>
      <c r="F431" s="123"/>
      <c r="G431" s="125"/>
      <c r="H431" s="123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</row>
    <row r="432" spans="1:28" ht="28.5" customHeight="1" x14ac:dyDescent="0.35">
      <c r="A432" s="122"/>
      <c r="B432" s="122"/>
      <c r="C432" s="122"/>
      <c r="D432" s="123"/>
      <c r="E432" s="124"/>
      <c r="F432" s="123"/>
      <c r="G432" s="125"/>
      <c r="H432" s="123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</row>
    <row r="433" spans="1:28" ht="28.5" customHeight="1" x14ac:dyDescent="0.35">
      <c r="A433" s="122"/>
      <c r="B433" s="122"/>
      <c r="C433" s="122"/>
      <c r="D433" s="123"/>
      <c r="E433" s="124"/>
      <c r="F433" s="123"/>
      <c r="G433" s="125"/>
      <c r="H433" s="123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</row>
    <row r="434" spans="1:28" ht="28.5" customHeight="1" x14ac:dyDescent="0.35">
      <c r="A434" s="122"/>
      <c r="B434" s="122"/>
      <c r="C434" s="122"/>
      <c r="D434" s="123"/>
      <c r="E434" s="124"/>
      <c r="F434" s="123"/>
      <c r="G434" s="125"/>
      <c r="H434" s="123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</row>
    <row r="435" spans="1:28" ht="28.5" customHeight="1" x14ac:dyDescent="0.35">
      <c r="A435" s="122"/>
      <c r="B435" s="122"/>
      <c r="C435" s="122"/>
      <c r="D435" s="123"/>
      <c r="E435" s="124"/>
      <c r="F435" s="123"/>
      <c r="G435" s="125"/>
      <c r="H435" s="123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</row>
    <row r="436" spans="1:28" ht="28.5" customHeight="1" x14ac:dyDescent="0.35">
      <c r="A436" s="122"/>
      <c r="B436" s="122"/>
      <c r="C436" s="122"/>
      <c r="D436" s="123"/>
      <c r="E436" s="124"/>
      <c r="F436" s="123"/>
      <c r="G436" s="125"/>
      <c r="H436" s="123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</row>
    <row r="437" spans="1:28" ht="28.5" customHeight="1" x14ac:dyDescent="0.35">
      <c r="A437" s="122"/>
      <c r="B437" s="122"/>
      <c r="C437" s="122"/>
      <c r="D437" s="123"/>
      <c r="E437" s="124"/>
      <c r="F437" s="123"/>
      <c r="G437" s="125"/>
      <c r="H437" s="123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</row>
    <row r="438" spans="1:28" ht="28.5" customHeight="1" x14ac:dyDescent="0.35">
      <c r="A438" s="122"/>
      <c r="B438" s="122"/>
      <c r="C438" s="122"/>
      <c r="D438" s="123"/>
      <c r="E438" s="124"/>
      <c r="F438" s="123"/>
      <c r="G438" s="125"/>
      <c r="H438" s="123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</row>
    <row r="439" spans="1:28" ht="28.5" customHeight="1" x14ac:dyDescent="0.35">
      <c r="A439" s="122"/>
      <c r="B439" s="122"/>
      <c r="C439" s="122"/>
      <c r="D439" s="123"/>
      <c r="E439" s="124"/>
      <c r="F439" s="123"/>
      <c r="G439" s="125"/>
      <c r="H439" s="123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</row>
    <row r="440" spans="1:28" ht="28.5" customHeight="1" x14ac:dyDescent="0.35">
      <c r="A440" s="122"/>
      <c r="B440" s="122"/>
      <c r="C440" s="122"/>
      <c r="D440" s="123"/>
      <c r="E440" s="124"/>
      <c r="F440" s="123"/>
      <c r="G440" s="125"/>
      <c r="H440" s="123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</row>
    <row r="441" spans="1:28" ht="28.5" customHeight="1" x14ac:dyDescent="0.35">
      <c r="A441" s="122"/>
      <c r="B441" s="122"/>
      <c r="C441" s="122"/>
      <c r="D441" s="123"/>
      <c r="E441" s="124"/>
      <c r="F441" s="123"/>
      <c r="G441" s="125"/>
      <c r="H441" s="123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</row>
    <row r="442" spans="1:28" ht="28.5" customHeight="1" x14ac:dyDescent="0.35">
      <c r="A442" s="122"/>
      <c r="B442" s="122"/>
      <c r="C442" s="122"/>
      <c r="D442" s="123"/>
      <c r="E442" s="124"/>
      <c r="F442" s="123"/>
      <c r="G442" s="125"/>
      <c r="H442" s="123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</row>
    <row r="443" spans="1:28" ht="28.5" customHeight="1" x14ac:dyDescent="0.35">
      <c r="A443" s="122"/>
      <c r="B443" s="122"/>
      <c r="C443" s="122"/>
      <c r="D443" s="123"/>
      <c r="E443" s="124"/>
      <c r="F443" s="123"/>
      <c r="G443" s="125"/>
      <c r="H443" s="123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</row>
    <row r="444" spans="1:28" ht="28.5" customHeight="1" x14ac:dyDescent="0.35">
      <c r="A444" s="122"/>
      <c r="B444" s="122"/>
      <c r="C444" s="122"/>
      <c r="D444" s="123"/>
      <c r="E444" s="124"/>
      <c r="F444" s="123"/>
      <c r="G444" s="125"/>
      <c r="H444" s="123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</row>
    <row r="445" spans="1:28" ht="28.5" customHeight="1" x14ac:dyDescent="0.35">
      <c r="A445" s="122"/>
      <c r="B445" s="122"/>
      <c r="C445" s="122"/>
      <c r="D445" s="123"/>
      <c r="E445" s="124"/>
      <c r="F445" s="123"/>
      <c r="G445" s="125"/>
      <c r="H445" s="123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</row>
    <row r="446" spans="1:28" ht="28.5" customHeight="1" x14ac:dyDescent="0.35">
      <c r="A446" s="122"/>
      <c r="B446" s="122"/>
      <c r="C446" s="122"/>
      <c r="D446" s="123"/>
      <c r="E446" s="124"/>
      <c r="F446" s="123"/>
      <c r="G446" s="125"/>
      <c r="H446" s="123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</row>
    <row r="447" spans="1:28" ht="28.5" customHeight="1" x14ac:dyDescent="0.35">
      <c r="A447" s="122"/>
      <c r="B447" s="122"/>
      <c r="C447" s="122"/>
      <c r="D447" s="123"/>
      <c r="E447" s="124"/>
      <c r="F447" s="123"/>
      <c r="G447" s="125"/>
      <c r="H447" s="123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</row>
    <row r="448" spans="1:28" ht="28.5" customHeight="1" x14ac:dyDescent="0.35">
      <c r="A448" s="122"/>
      <c r="B448" s="122"/>
      <c r="C448" s="122"/>
      <c r="D448" s="123"/>
      <c r="E448" s="124"/>
      <c r="F448" s="123"/>
      <c r="G448" s="125"/>
      <c r="H448" s="123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</row>
    <row r="449" spans="1:28" ht="28.5" customHeight="1" x14ac:dyDescent="0.35">
      <c r="A449" s="122"/>
      <c r="B449" s="122"/>
      <c r="C449" s="122"/>
      <c r="D449" s="123"/>
      <c r="E449" s="124"/>
      <c r="F449" s="123"/>
      <c r="G449" s="125"/>
      <c r="H449" s="123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</row>
    <row r="450" spans="1:28" ht="28.5" customHeight="1" x14ac:dyDescent="0.35">
      <c r="A450" s="122"/>
      <c r="B450" s="122"/>
      <c r="C450" s="122"/>
      <c r="D450" s="123"/>
      <c r="E450" s="124"/>
      <c r="F450" s="123"/>
      <c r="G450" s="125"/>
      <c r="H450" s="123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</row>
    <row r="451" spans="1:28" ht="28.5" customHeight="1" x14ac:dyDescent="0.35">
      <c r="A451" s="122"/>
      <c r="B451" s="122"/>
      <c r="C451" s="122"/>
      <c r="D451" s="123"/>
      <c r="E451" s="124"/>
      <c r="F451" s="123"/>
      <c r="G451" s="125"/>
      <c r="H451" s="123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</row>
    <row r="452" spans="1:28" ht="28.5" customHeight="1" x14ac:dyDescent="0.35">
      <c r="A452" s="122"/>
      <c r="B452" s="122"/>
      <c r="C452" s="122"/>
      <c r="D452" s="123"/>
      <c r="E452" s="124"/>
      <c r="F452" s="123"/>
      <c r="G452" s="125"/>
      <c r="H452" s="123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</row>
    <row r="453" spans="1:28" ht="28.5" customHeight="1" x14ac:dyDescent="0.35">
      <c r="A453" s="122"/>
      <c r="B453" s="122"/>
      <c r="C453" s="122"/>
      <c r="D453" s="123"/>
      <c r="E453" s="124"/>
      <c r="F453" s="123"/>
      <c r="G453" s="125"/>
      <c r="H453" s="123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</row>
    <row r="454" spans="1:28" ht="28.5" customHeight="1" x14ac:dyDescent="0.35">
      <c r="A454" s="122"/>
      <c r="B454" s="122"/>
      <c r="C454" s="122"/>
      <c r="D454" s="123"/>
      <c r="E454" s="124"/>
      <c r="F454" s="123"/>
      <c r="G454" s="125"/>
      <c r="H454" s="123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</row>
    <row r="455" spans="1:28" ht="28.5" customHeight="1" x14ac:dyDescent="0.35">
      <c r="A455" s="122"/>
      <c r="B455" s="122"/>
      <c r="C455" s="122"/>
      <c r="D455" s="123"/>
      <c r="E455" s="124"/>
      <c r="F455" s="123"/>
      <c r="G455" s="125"/>
      <c r="H455" s="123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</row>
    <row r="456" spans="1:28" ht="28.5" customHeight="1" x14ac:dyDescent="0.35">
      <c r="A456" s="122"/>
      <c r="B456" s="122"/>
      <c r="C456" s="122"/>
      <c r="D456" s="123"/>
      <c r="E456" s="124"/>
      <c r="F456" s="123"/>
      <c r="G456" s="125"/>
      <c r="H456" s="123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</row>
    <row r="457" spans="1:28" ht="28.5" customHeight="1" x14ac:dyDescent="0.35">
      <c r="A457" s="122"/>
      <c r="B457" s="122"/>
      <c r="C457" s="122"/>
      <c r="D457" s="123"/>
      <c r="E457" s="124"/>
      <c r="F457" s="123"/>
      <c r="G457" s="125"/>
      <c r="H457" s="123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</row>
    <row r="458" spans="1:28" ht="28.5" customHeight="1" x14ac:dyDescent="0.35">
      <c r="A458" s="122"/>
      <c r="B458" s="122"/>
      <c r="C458" s="122"/>
      <c r="D458" s="123"/>
      <c r="E458" s="124"/>
      <c r="F458" s="123"/>
      <c r="G458" s="125"/>
      <c r="H458" s="123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</row>
    <row r="459" spans="1:28" ht="28.5" customHeight="1" x14ac:dyDescent="0.35">
      <c r="A459" s="122"/>
      <c r="B459" s="122"/>
      <c r="C459" s="122"/>
      <c r="D459" s="123"/>
      <c r="E459" s="124"/>
      <c r="F459" s="123"/>
      <c r="G459" s="125"/>
      <c r="H459" s="123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</row>
    <row r="460" spans="1:28" ht="28.5" customHeight="1" x14ac:dyDescent="0.35">
      <c r="A460" s="122"/>
      <c r="B460" s="122"/>
      <c r="C460" s="122"/>
      <c r="D460" s="123"/>
      <c r="E460" s="124"/>
      <c r="F460" s="123"/>
      <c r="G460" s="125"/>
      <c r="H460" s="123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</row>
    <row r="461" spans="1:28" ht="28.5" customHeight="1" x14ac:dyDescent="0.35">
      <c r="A461" s="122"/>
      <c r="B461" s="122"/>
      <c r="C461" s="122"/>
      <c r="D461" s="123"/>
      <c r="E461" s="124"/>
      <c r="F461" s="123"/>
      <c r="G461" s="125"/>
      <c r="H461" s="123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</row>
    <row r="462" spans="1:28" ht="28.5" customHeight="1" x14ac:dyDescent="0.35">
      <c r="A462" s="122"/>
      <c r="B462" s="122"/>
      <c r="C462" s="122"/>
      <c r="D462" s="123"/>
      <c r="E462" s="124"/>
      <c r="F462" s="123"/>
      <c r="G462" s="125"/>
      <c r="H462" s="123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</row>
    <row r="463" spans="1:28" ht="28.5" customHeight="1" x14ac:dyDescent="0.35">
      <c r="A463" s="122"/>
      <c r="B463" s="122"/>
      <c r="C463" s="122"/>
      <c r="D463" s="123"/>
      <c r="E463" s="124"/>
      <c r="F463" s="123"/>
      <c r="G463" s="125"/>
      <c r="H463" s="123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</row>
    <row r="464" spans="1:28" ht="28.5" customHeight="1" x14ac:dyDescent="0.35">
      <c r="A464" s="122"/>
      <c r="B464" s="122"/>
      <c r="C464" s="122"/>
      <c r="D464" s="123"/>
      <c r="E464" s="124"/>
      <c r="F464" s="123"/>
      <c r="G464" s="125"/>
      <c r="H464" s="123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</row>
    <row r="465" spans="1:28" ht="28.5" customHeight="1" x14ac:dyDescent="0.35">
      <c r="A465" s="122"/>
      <c r="B465" s="122"/>
      <c r="C465" s="122"/>
      <c r="D465" s="123"/>
      <c r="E465" s="124"/>
      <c r="F465" s="123"/>
      <c r="G465" s="125"/>
      <c r="H465" s="123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</row>
    <row r="466" spans="1:28" ht="28.5" customHeight="1" x14ac:dyDescent="0.35">
      <c r="A466" s="122"/>
      <c r="B466" s="122"/>
      <c r="C466" s="122"/>
      <c r="D466" s="123"/>
      <c r="E466" s="124"/>
      <c r="F466" s="123"/>
      <c r="G466" s="125"/>
      <c r="H466" s="123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</row>
    <row r="467" spans="1:28" ht="28.5" customHeight="1" x14ac:dyDescent="0.35">
      <c r="A467" s="122"/>
      <c r="B467" s="122"/>
      <c r="C467" s="122"/>
      <c r="D467" s="123"/>
      <c r="E467" s="124"/>
      <c r="F467" s="123"/>
      <c r="G467" s="125"/>
      <c r="H467" s="123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</row>
    <row r="468" spans="1:28" ht="28.5" customHeight="1" x14ac:dyDescent="0.35">
      <c r="A468" s="122"/>
      <c r="B468" s="122"/>
      <c r="C468" s="122"/>
      <c r="D468" s="123"/>
      <c r="E468" s="124"/>
      <c r="F468" s="123"/>
      <c r="G468" s="125"/>
      <c r="H468" s="123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</row>
    <row r="469" spans="1:28" ht="28.5" customHeight="1" x14ac:dyDescent="0.35">
      <c r="A469" s="122"/>
      <c r="B469" s="122"/>
      <c r="C469" s="122"/>
      <c r="D469" s="123"/>
      <c r="E469" s="124"/>
      <c r="F469" s="123"/>
      <c r="G469" s="125"/>
      <c r="H469" s="123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</row>
    <row r="470" spans="1:28" ht="28.5" customHeight="1" x14ac:dyDescent="0.35">
      <c r="A470" s="122"/>
      <c r="B470" s="122"/>
      <c r="C470" s="122"/>
      <c r="D470" s="123"/>
      <c r="E470" s="124"/>
      <c r="F470" s="123"/>
      <c r="G470" s="125"/>
      <c r="H470" s="123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</row>
    <row r="471" spans="1:28" ht="28.5" customHeight="1" x14ac:dyDescent="0.35">
      <c r="A471" s="122"/>
      <c r="B471" s="122"/>
      <c r="C471" s="122"/>
      <c r="D471" s="123"/>
      <c r="E471" s="124"/>
      <c r="F471" s="123"/>
      <c r="G471" s="125"/>
      <c r="H471" s="123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</row>
    <row r="472" spans="1:28" ht="28.5" customHeight="1" x14ac:dyDescent="0.35">
      <c r="A472" s="122"/>
      <c r="B472" s="122"/>
      <c r="C472" s="122"/>
      <c r="D472" s="123"/>
      <c r="E472" s="124"/>
      <c r="F472" s="123"/>
      <c r="G472" s="125"/>
      <c r="H472" s="123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</row>
    <row r="473" spans="1:28" ht="28.5" customHeight="1" x14ac:dyDescent="0.35">
      <c r="A473" s="122"/>
      <c r="B473" s="122"/>
      <c r="C473" s="122"/>
      <c r="D473" s="123"/>
      <c r="E473" s="124"/>
      <c r="F473" s="123"/>
      <c r="G473" s="125"/>
      <c r="H473" s="123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</row>
    <row r="474" spans="1:28" ht="28.5" customHeight="1" x14ac:dyDescent="0.35">
      <c r="A474" s="122"/>
      <c r="B474" s="122"/>
      <c r="C474" s="122"/>
      <c r="D474" s="123"/>
      <c r="E474" s="124"/>
      <c r="F474" s="123"/>
      <c r="G474" s="125"/>
      <c r="H474" s="123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</row>
    <row r="475" spans="1:28" ht="28.5" customHeight="1" x14ac:dyDescent="0.35">
      <c r="A475" s="122"/>
      <c r="B475" s="122"/>
      <c r="C475" s="122"/>
      <c r="D475" s="123"/>
      <c r="E475" s="124"/>
      <c r="F475" s="123"/>
      <c r="G475" s="125"/>
      <c r="H475" s="123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</row>
    <row r="476" spans="1:28" ht="28.5" customHeight="1" x14ac:dyDescent="0.35">
      <c r="A476" s="122"/>
      <c r="B476" s="122"/>
      <c r="C476" s="122"/>
      <c r="D476" s="123"/>
      <c r="E476" s="124"/>
      <c r="F476" s="123"/>
      <c r="G476" s="125"/>
      <c r="H476" s="123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</row>
    <row r="477" spans="1:28" ht="28.5" customHeight="1" x14ac:dyDescent="0.35">
      <c r="A477" s="122"/>
      <c r="B477" s="122"/>
      <c r="C477" s="122"/>
      <c r="D477" s="123"/>
      <c r="E477" s="124"/>
      <c r="F477" s="123"/>
      <c r="G477" s="125"/>
      <c r="H477" s="123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</row>
    <row r="478" spans="1:28" ht="28.5" customHeight="1" x14ac:dyDescent="0.35">
      <c r="A478" s="122"/>
      <c r="B478" s="122"/>
      <c r="C478" s="122"/>
      <c r="D478" s="123"/>
      <c r="E478" s="124"/>
      <c r="F478" s="123"/>
      <c r="G478" s="125"/>
      <c r="H478" s="123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</row>
    <row r="479" spans="1:28" ht="28.5" customHeight="1" x14ac:dyDescent="0.35">
      <c r="A479" s="122"/>
      <c r="B479" s="122"/>
      <c r="C479" s="122"/>
      <c r="D479" s="123"/>
      <c r="E479" s="124"/>
      <c r="F479" s="123"/>
      <c r="G479" s="125"/>
      <c r="H479" s="123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</row>
    <row r="480" spans="1:28" ht="28.5" customHeight="1" x14ac:dyDescent="0.35">
      <c r="A480" s="122"/>
      <c r="B480" s="122"/>
      <c r="C480" s="122"/>
      <c r="D480" s="123"/>
      <c r="E480" s="124"/>
      <c r="F480" s="123"/>
      <c r="G480" s="125"/>
      <c r="H480" s="123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</row>
    <row r="481" spans="1:28" ht="28.5" customHeight="1" x14ac:dyDescent="0.35">
      <c r="A481" s="122"/>
      <c r="B481" s="122"/>
      <c r="C481" s="122"/>
      <c r="D481" s="123"/>
      <c r="E481" s="124"/>
      <c r="F481" s="123"/>
      <c r="G481" s="125"/>
      <c r="H481" s="123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</row>
    <row r="482" spans="1:28" ht="28.5" customHeight="1" x14ac:dyDescent="0.35">
      <c r="A482" s="122"/>
      <c r="B482" s="122"/>
      <c r="C482" s="122"/>
      <c r="D482" s="123"/>
      <c r="E482" s="124"/>
      <c r="F482" s="123"/>
      <c r="G482" s="125"/>
      <c r="H482" s="123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</row>
    <row r="483" spans="1:28" ht="28.5" customHeight="1" x14ac:dyDescent="0.35">
      <c r="A483" s="122"/>
      <c r="B483" s="122"/>
      <c r="C483" s="122"/>
      <c r="D483" s="123"/>
      <c r="E483" s="124"/>
      <c r="F483" s="123"/>
      <c r="G483" s="125"/>
      <c r="H483" s="123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</row>
    <row r="484" spans="1:28" ht="28.5" customHeight="1" x14ac:dyDescent="0.35">
      <c r="A484" s="122"/>
      <c r="B484" s="122"/>
      <c r="C484" s="122"/>
      <c r="D484" s="123"/>
      <c r="E484" s="124"/>
      <c r="F484" s="123"/>
      <c r="G484" s="125"/>
      <c r="H484" s="123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</row>
    <row r="485" spans="1:28" ht="28.5" customHeight="1" x14ac:dyDescent="0.35">
      <c r="A485" s="122"/>
      <c r="B485" s="122"/>
      <c r="C485" s="122"/>
      <c r="D485" s="123"/>
      <c r="E485" s="124"/>
      <c r="F485" s="123"/>
      <c r="G485" s="125"/>
      <c r="H485" s="123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</row>
    <row r="486" spans="1:28" ht="28.5" customHeight="1" x14ac:dyDescent="0.35">
      <c r="A486" s="122"/>
      <c r="B486" s="122"/>
      <c r="C486" s="122"/>
      <c r="D486" s="123"/>
      <c r="E486" s="124"/>
      <c r="F486" s="123"/>
      <c r="G486" s="125"/>
      <c r="H486" s="123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</row>
    <row r="487" spans="1:28" ht="28.5" customHeight="1" x14ac:dyDescent="0.35">
      <c r="A487" s="122"/>
      <c r="B487" s="122"/>
      <c r="C487" s="122"/>
      <c r="D487" s="123"/>
      <c r="E487" s="124"/>
      <c r="F487" s="123"/>
      <c r="G487" s="125"/>
      <c r="H487" s="123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</row>
    <row r="488" spans="1:28" ht="28.5" customHeight="1" x14ac:dyDescent="0.35">
      <c r="A488" s="122"/>
      <c r="B488" s="122"/>
      <c r="C488" s="122"/>
      <c r="D488" s="123"/>
      <c r="E488" s="124"/>
      <c r="F488" s="123"/>
      <c r="G488" s="125"/>
      <c r="H488" s="123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</row>
    <row r="489" spans="1:28" ht="28.5" customHeight="1" x14ac:dyDescent="0.35">
      <c r="A489" s="122"/>
      <c r="B489" s="122"/>
      <c r="C489" s="122"/>
      <c r="D489" s="123"/>
      <c r="E489" s="124"/>
      <c r="F489" s="123"/>
      <c r="G489" s="125"/>
      <c r="H489" s="123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</row>
    <row r="490" spans="1:28" ht="28.5" customHeight="1" x14ac:dyDescent="0.35">
      <c r="A490" s="122"/>
      <c r="B490" s="122"/>
      <c r="C490" s="122"/>
      <c r="D490" s="123"/>
      <c r="E490" s="124"/>
      <c r="F490" s="123"/>
      <c r="G490" s="125"/>
      <c r="H490" s="123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</row>
    <row r="491" spans="1:28" ht="28.5" customHeight="1" x14ac:dyDescent="0.35">
      <c r="A491" s="122"/>
      <c r="B491" s="122"/>
      <c r="C491" s="122"/>
      <c r="D491" s="123"/>
      <c r="E491" s="124"/>
      <c r="F491" s="123"/>
      <c r="G491" s="125"/>
      <c r="H491" s="123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</row>
    <row r="492" spans="1:28" ht="28.5" customHeight="1" x14ac:dyDescent="0.35">
      <c r="A492" s="122"/>
      <c r="B492" s="122"/>
      <c r="C492" s="122"/>
      <c r="D492" s="123"/>
      <c r="E492" s="124"/>
      <c r="F492" s="123"/>
      <c r="G492" s="125"/>
      <c r="H492" s="123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</row>
    <row r="493" spans="1:28" ht="28.5" customHeight="1" x14ac:dyDescent="0.35">
      <c r="A493" s="122"/>
      <c r="B493" s="122"/>
      <c r="C493" s="122"/>
      <c r="D493" s="123"/>
      <c r="E493" s="124"/>
      <c r="F493" s="123"/>
      <c r="G493" s="125"/>
      <c r="H493" s="123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</row>
    <row r="494" spans="1:28" ht="28.5" customHeight="1" x14ac:dyDescent="0.35">
      <c r="A494" s="122"/>
      <c r="B494" s="122"/>
      <c r="C494" s="122"/>
      <c r="D494" s="123"/>
      <c r="E494" s="124"/>
      <c r="F494" s="123"/>
      <c r="G494" s="125"/>
      <c r="H494" s="123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</row>
    <row r="495" spans="1:28" ht="28.5" customHeight="1" x14ac:dyDescent="0.35">
      <c r="A495" s="122"/>
      <c r="B495" s="122"/>
      <c r="C495" s="122"/>
      <c r="D495" s="123"/>
      <c r="E495" s="124"/>
      <c r="F495" s="123"/>
      <c r="G495" s="125"/>
      <c r="H495" s="123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</row>
    <row r="496" spans="1:28" ht="28.5" customHeight="1" x14ac:dyDescent="0.35">
      <c r="A496" s="122"/>
      <c r="B496" s="122"/>
      <c r="C496" s="122"/>
      <c r="D496" s="123"/>
      <c r="E496" s="124"/>
      <c r="F496" s="123"/>
      <c r="G496" s="125"/>
      <c r="H496" s="123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</row>
    <row r="497" spans="1:28" ht="28.5" customHeight="1" x14ac:dyDescent="0.35">
      <c r="A497" s="122"/>
      <c r="B497" s="122"/>
      <c r="C497" s="122"/>
      <c r="D497" s="123"/>
      <c r="E497" s="124"/>
      <c r="F497" s="123"/>
      <c r="G497" s="125"/>
      <c r="H497" s="123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</row>
    <row r="498" spans="1:28" ht="28.5" customHeight="1" x14ac:dyDescent="0.35">
      <c r="A498" s="122"/>
      <c r="B498" s="122"/>
      <c r="C498" s="122"/>
      <c r="D498" s="123"/>
      <c r="E498" s="124"/>
      <c r="F498" s="123"/>
      <c r="G498" s="125"/>
      <c r="H498" s="123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</row>
    <row r="499" spans="1:28" ht="28.5" customHeight="1" x14ac:dyDescent="0.35">
      <c r="A499" s="122"/>
      <c r="B499" s="122"/>
      <c r="C499" s="122"/>
      <c r="D499" s="123"/>
      <c r="E499" s="124"/>
      <c r="F499" s="123"/>
      <c r="G499" s="125"/>
      <c r="H499" s="123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</row>
    <row r="500" spans="1:28" ht="28.5" customHeight="1" x14ac:dyDescent="0.35">
      <c r="A500" s="122"/>
      <c r="B500" s="122"/>
      <c r="C500" s="122"/>
      <c r="D500" s="123"/>
      <c r="E500" s="124"/>
      <c r="F500" s="123"/>
      <c r="G500" s="125"/>
      <c r="H500" s="123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</row>
    <row r="501" spans="1:28" ht="28.5" customHeight="1" x14ac:dyDescent="0.35">
      <c r="A501" s="122"/>
      <c r="B501" s="122"/>
      <c r="C501" s="122"/>
      <c r="D501" s="123"/>
      <c r="E501" s="124"/>
      <c r="F501" s="123"/>
      <c r="G501" s="125"/>
      <c r="H501" s="123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</row>
    <row r="502" spans="1:28" ht="28.5" customHeight="1" x14ac:dyDescent="0.35">
      <c r="A502" s="122"/>
      <c r="B502" s="122"/>
      <c r="C502" s="122"/>
      <c r="D502" s="123"/>
      <c r="E502" s="124"/>
      <c r="F502" s="123"/>
      <c r="G502" s="125"/>
      <c r="H502" s="123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</row>
    <row r="503" spans="1:28" ht="28.5" customHeight="1" x14ac:dyDescent="0.35">
      <c r="A503" s="122"/>
      <c r="B503" s="122"/>
      <c r="C503" s="122"/>
      <c r="D503" s="123"/>
      <c r="E503" s="124"/>
      <c r="F503" s="123"/>
      <c r="G503" s="125"/>
      <c r="H503" s="123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</row>
    <row r="504" spans="1:28" ht="28.5" customHeight="1" x14ac:dyDescent="0.35">
      <c r="A504" s="122"/>
      <c r="B504" s="122"/>
      <c r="C504" s="122"/>
      <c r="D504" s="123"/>
      <c r="E504" s="124"/>
      <c r="F504" s="123"/>
      <c r="G504" s="125"/>
      <c r="H504" s="123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</row>
    <row r="505" spans="1:28" ht="28.5" customHeight="1" x14ac:dyDescent="0.35">
      <c r="A505" s="122"/>
      <c r="B505" s="122"/>
      <c r="C505" s="122"/>
      <c r="D505" s="123"/>
      <c r="E505" s="124"/>
      <c r="F505" s="123"/>
      <c r="G505" s="125"/>
      <c r="H505" s="123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</row>
    <row r="506" spans="1:28" ht="28.5" customHeight="1" x14ac:dyDescent="0.35">
      <c r="A506" s="122"/>
      <c r="B506" s="122"/>
      <c r="C506" s="122"/>
      <c r="D506" s="123"/>
      <c r="E506" s="124"/>
      <c r="F506" s="123"/>
      <c r="G506" s="125"/>
      <c r="H506" s="123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</row>
    <row r="507" spans="1:28" ht="28.5" customHeight="1" x14ac:dyDescent="0.35">
      <c r="A507" s="122"/>
      <c r="B507" s="122"/>
      <c r="C507" s="122"/>
      <c r="D507" s="123"/>
      <c r="E507" s="124"/>
      <c r="F507" s="123"/>
      <c r="G507" s="125"/>
      <c r="H507" s="123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</row>
    <row r="508" spans="1:28" ht="28.5" customHeight="1" x14ac:dyDescent="0.35">
      <c r="A508" s="122"/>
      <c r="B508" s="122"/>
      <c r="C508" s="122"/>
      <c r="D508" s="123"/>
      <c r="E508" s="124"/>
      <c r="F508" s="123"/>
      <c r="G508" s="125"/>
      <c r="H508" s="123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</row>
    <row r="509" spans="1:28" ht="28.5" customHeight="1" x14ac:dyDescent="0.35">
      <c r="A509" s="122"/>
      <c r="B509" s="122"/>
      <c r="C509" s="122"/>
      <c r="D509" s="123"/>
      <c r="E509" s="124"/>
      <c r="F509" s="123"/>
      <c r="G509" s="125"/>
      <c r="H509" s="123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</row>
    <row r="510" spans="1:28" ht="28.5" customHeight="1" x14ac:dyDescent="0.35">
      <c r="A510" s="122"/>
      <c r="B510" s="122"/>
      <c r="C510" s="122"/>
      <c r="D510" s="123"/>
      <c r="E510" s="124"/>
      <c r="F510" s="123"/>
      <c r="G510" s="125"/>
      <c r="H510" s="123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</row>
    <row r="511" spans="1:28" ht="28.5" customHeight="1" x14ac:dyDescent="0.35">
      <c r="A511" s="122"/>
      <c r="B511" s="122"/>
      <c r="C511" s="122"/>
      <c r="D511" s="123"/>
      <c r="E511" s="124"/>
      <c r="F511" s="123"/>
      <c r="G511" s="125"/>
      <c r="H511" s="123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</row>
    <row r="512" spans="1:28" ht="28.5" customHeight="1" x14ac:dyDescent="0.35">
      <c r="A512" s="122"/>
      <c r="B512" s="122"/>
      <c r="C512" s="122"/>
      <c r="D512" s="123"/>
      <c r="E512" s="124"/>
      <c r="F512" s="123"/>
      <c r="G512" s="125"/>
      <c r="H512" s="123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</row>
    <row r="513" spans="1:28" ht="28.5" customHeight="1" x14ac:dyDescent="0.35">
      <c r="A513" s="122"/>
      <c r="B513" s="122"/>
      <c r="C513" s="122"/>
      <c r="D513" s="123"/>
      <c r="E513" s="124"/>
      <c r="F513" s="123"/>
      <c r="G513" s="125"/>
      <c r="H513" s="123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</row>
    <row r="514" spans="1:28" ht="28.5" customHeight="1" x14ac:dyDescent="0.35">
      <c r="A514" s="122"/>
      <c r="B514" s="122"/>
      <c r="C514" s="122"/>
      <c r="D514" s="123"/>
      <c r="E514" s="124"/>
      <c r="F514" s="123"/>
      <c r="G514" s="125"/>
      <c r="H514" s="123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</row>
    <row r="515" spans="1:28" ht="28.5" customHeight="1" x14ac:dyDescent="0.35">
      <c r="A515" s="122"/>
      <c r="B515" s="122"/>
      <c r="C515" s="122"/>
      <c r="D515" s="123"/>
      <c r="E515" s="124"/>
      <c r="F515" s="123"/>
      <c r="G515" s="125"/>
      <c r="H515" s="123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</row>
    <row r="516" spans="1:28" ht="28.5" customHeight="1" x14ac:dyDescent="0.35">
      <c r="A516" s="122"/>
      <c r="B516" s="122"/>
      <c r="C516" s="122"/>
      <c r="D516" s="123"/>
      <c r="E516" s="124"/>
      <c r="F516" s="123"/>
      <c r="G516" s="125"/>
      <c r="H516" s="123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</row>
    <row r="517" spans="1:28" ht="28.5" customHeight="1" x14ac:dyDescent="0.35">
      <c r="A517" s="122"/>
      <c r="B517" s="122"/>
      <c r="C517" s="122"/>
      <c r="D517" s="123"/>
      <c r="E517" s="124"/>
      <c r="F517" s="123"/>
      <c r="G517" s="125"/>
      <c r="H517" s="123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</row>
    <row r="518" spans="1:28" ht="28.5" customHeight="1" x14ac:dyDescent="0.35">
      <c r="A518" s="122"/>
      <c r="B518" s="122"/>
      <c r="C518" s="122"/>
      <c r="D518" s="123"/>
      <c r="E518" s="124"/>
      <c r="F518" s="123"/>
      <c r="G518" s="125"/>
      <c r="H518" s="123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</row>
    <row r="519" spans="1:28" ht="28.5" customHeight="1" x14ac:dyDescent="0.35">
      <c r="A519" s="122"/>
      <c r="B519" s="122"/>
      <c r="C519" s="122"/>
      <c r="D519" s="123"/>
      <c r="E519" s="124"/>
      <c r="F519" s="123"/>
      <c r="G519" s="125"/>
      <c r="H519" s="123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</row>
    <row r="520" spans="1:28" ht="28.5" customHeight="1" x14ac:dyDescent="0.35">
      <c r="A520" s="122"/>
      <c r="B520" s="122"/>
      <c r="C520" s="122"/>
      <c r="D520" s="123"/>
      <c r="E520" s="124"/>
      <c r="F520" s="123"/>
      <c r="G520" s="125"/>
      <c r="H520" s="123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</row>
    <row r="521" spans="1:28" ht="28.5" customHeight="1" x14ac:dyDescent="0.35">
      <c r="A521" s="122"/>
      <c r="B521" s="122"/>
      <c r="C521" s="122"/>
      <c r="D521" s="123"/>
      <c r="E521" s="124"/>
      <c r="F521" s="123"/>
      <c r="G521" s="125"/>
      <c r="H521" s="123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</row>
    <row r="522" spans="1:28" ht="28.5" customHeight="1" x14ac:dyDescent="0.35">
      <c r="A522" s="122"/>
      <c r="B522" s="122"/>
      <c r="C522" s="122"/>
      <c r="D522" s="123"/>
      <c r="E522" s="124"/>
      <c r="F522" s="123"/>
      <c r="G522" s="125"/>
      <c r="H522" s="123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</row>
    <row r="523" spans="1:28" ht="28.5" customHeight="1" x14ac:dyDescent="0.35">
      <c r="A523" s="122"/>
      <c r="B523" s="122"/>
      <c r="C523" s="122"/>
      <c r="D523" s="123"/>
      <c r="E523" s="124"/>
      <c r="F523" s="123"/>
      <c r="G523" s="125"/>
      <c r="H523" s="123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</row>
    <row r="524" spans="1:28" ht="28.5" customHeight="1" x14ac:dyDescent="0.35">
      <c r="A524" s="122"/>
      <c r="B524" s="122"/>
      <c r="C524" s="122"/>
      <c r="D524" s="123"/>
      <c r="E524" s="124"/>
      <c r="F524" s="123"/>
      <c r="G524" s="125"/>
      <c r="H524" s="123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</row>
    <row r="525" spans="1:28" ht="28.5" customHeight="1" x14ac:dyDescent="0.35">
      <c r="A525" s="122"/>
      <c r="B525" s="122"/>
      <c r="C525" s="122"/>
      <c r="D525" s="123"/>
      <c r="E525" s="124"/>
      <c r="F525" s="123"/>
      <c r="G525" s="125"/>
      <c r="H525" s="123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</row>
    <row r="526" spans="1:28" ht="28.5" customHeight="1" x14ac:dyDescent="0.35">
      <c r="A526" s="122"/>
      <c r="B526" s="122"/>
      <c r="C526" s="122"/>
      <c r="D526" s="123"/>
      <c r="E526" s="124"/>
      <c r="F526" s="123"/>
      <c r="G526" s="125"/>
      <c r="H526" s="123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</row>
    <row r="527" spans="1:28" ht="28.5" customHeight="1" x14ac:dyDescent="0.35">
      <c r="A527" s="122"/>
      <c r="B527" s="122"/>
      <c r="C527" s="122"/>
      <c r="D527" s="123"/>
      <c r="E527" s="124"/>
      <c r="F527" s="123"/>
      <c r="G527" s="125"/>
      <c r="H527" s="123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</row>
    <row r="528" spans="1:28" ht="28.5" customHeight="1" x14ac:dyDescent="0.35">
      <c r="A528" s="122"/>
      <c r="B528" s="122"/>
      <c r="C528" s="122"/>
      <c r="D528" s="123"/>
      <c r="E528" s="124"/>
      <c r="F528" s="123"/>
      <c r="G528" s="125"/>
      <c r="H528" s="123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</row>
    <row r="529" spans="1:28" ht="28.5" customHeight="1" x14ac:dyDescent="0.35">
      <c r="A529" s="122"/>
      <c r="B529" s="122"/>
      <c r="C529" s="122"/>
      <c r="D529" s="123"/>
      <c r="E529" s="124"/>
      <c r="F529" s="123"/>
      <c r="G529" s="125"/>
      <c r="H529" s="123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</row>
    <row r="530" spans="1:28" ht="28.5" customHeight="1" x14ac:dyDescent="0.35">
      <c r="A530" s="122"/>
      <c r="B530" s="122"/>
      <c r="C530" s="122"/>
      <c r="D530" s="123"/>
      <c r="E530" s="124"/>
      <c r="F530" s="123"/>
      <c r="G530" s="125"/>
      <c r="H530" s="123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</row>
    <row r="531" spans="1:28" ht="28.5" customHeight="1" x14ac:dyDescent="0.35">
      <c r="A531" s="122"/>
      <c r="B531" s="122"/>
      <c r="C531" s="122"/>
      <c r="D531" s="123"/>
      <c r="E531" s="124"/>
      <c r="F531" s="123"/>
      <c r="G531" s="125"/>
      <c r="H531" s="123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</row>
    <row r="532" spans="1:28" ht="28.5" customHeight="1" x14ac:dyDescent="0.35">
      <c r="A532" s="122"/>
      <c r="B532" s="122"/>
      <c r="C532" s="122"/>
      <c r="D532" s="123"/>
      <c r="E532" s="124"/>
      <c r="F532" s="123"/>
      <c r="G532" s="125"/>
      <c r="H532" s="123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</row>
    <row r="533" spans="1:28" ht="28.5" customHeight="1" x14ac:dyDescent="0.35">
      <c r="A533" s="122"/>
      <c r="B533" s="122"/>
      <c r="C533" s="122"/>
      <c r="D533" s="123"/>
      <c r="E533" s="124"/>
      <c r="F533" s="123"/>
      <c r="G533" s="125"/>
      <c r="H533" s="123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</row>
    <row r="534" spans="1:28" ht="28.5" customHeight="1" x14ac:dyDescent="0.35">
      <c r="A534" s="122"/>
      <c r="B534" s="122"/>
      <c r="C534" s="122"/>
      <c r="D534" s="123"/>
      <c r="E534" s="124"/>
      <c r="F534" s="123"/>
      <c r="G534" s="125"/>
      <c r="H534" s="123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</row>
    <row r="535" spans="1:28" ht="28.5" customHeight="1" x14ac:dyDescent="0.35">
      <c r="A535" s="122"/>
      <c r="B535" s="122"/>
      <c r="C535" s="122"/>
      <c r="D535" s="123"/>
      <c r="E535" s="124"/>
      <c r="F535" s="123"/>
      <c r="G535" s="125"/>
      <c r="H535" s="123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</row>
    <row r="536" spans="1:28" ht="28.5" customHeight="1" x14ac:dyDescent="0.35">
      <c r="A536" s="122"/>
      <c r="B536" s="122"/>
      <c r="C536" s="122"/>
      <c r="D536" s="123"/>
      <c r="E536" s="124"/>
      <c r="F536" s="123"/>
      <c r="G536" s="125"/>
      <c r="H536" s="123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</row>
    <row r="537" spans="1:28" ht="28.5" customHeight="1" x14ac:dyDescent="0.35">
      <c r="A537" s="122"/>
      <c r="B537" s="122"/>
      <c r="C537" s="122"/>
      <c r="D537" s="123"/>
      <c r="E537" s="124"/>
      <c r="F537" s="123"/>
      <c r="G537" s="125"/>
      <c r="H537" s="123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</row>
    <row r="538" spans="1:28" ht="28.5" customHeight="1" x14ac:dyDescent="0.35">
      <c r="A538" s="122"/>
      <c r="B538" s="122"/>
      <c r="C538" s="122"/>
      <c r="D538" s="123"/>
      <c r="E538" s="124"/>
      <c r="F538" s="123"/>
      <c r="G538" s="125"/>
      <c r="H538" s="123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</row>
    <row r="539" spans="1:28" ht="28.5" customHeight="1" x14ac:dyDescent="0.35">
      <c r="A539" s="122"/>
      <c r="B539" s="122"/>
      <c r="C539" s="122"/>
      <c r="D539" s="123"/>
      <c r="E539" s="124"/>
      <c r="F539" s="123"/>
      <c r="G539" s="125"/>
      <c r="H539" s="123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</row>
    <row r="540" spans="1:28" ht="28.5" customHeight="1" x14ac:dyDescent="0.35">
      <c r="A540" s="122"/>
      <c r="B540" s="122"/>
      <c r="C540" s="122"/>
      <c r="D540" s="123"/>
      <c r="E540" s="124"/>
      <c r="F540" s="123"/>
      <c r="G540" s="125"/>
      <c r="H540" s="123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</row>
    <row r="541" spans="1:28" ht="28.5" customHeight="1" x14ac:dyDescent="0.35">
      <c r="A541" s="122"/>
      <c r="B541" s="122"/>
      <c r="C541" s="122"/>
      <c r="D541" s="123"/>
      <c r="E541" s="124"/>
      <c r="F541" s="123"/>
      <c r="G541" s="125"/>
      <c r="H541" s="123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</row>
    <row r="542" spans="1:28" ht="28.5" customHeight="1" x14ac:dyDescent="0.35">
      <c r="A542" s="122"/>
      <c r="B542" s="122"/>
      <c r="C542" s="122"/>
      <c r="D542" s="123"/>
      <c r="E542" s="124"/>
      <c r="F542" s="123"/>
      <c r="G542" s="125"/>
      <c r="H542" s="123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</row>
    <row r="543" spans="1:28" ht="28.5" customHeight="1" x14ac:dyDescent="0.35">
      <c r="A543" s="122"/>
      <c r="B543" s="122"/>
      <c r="C543" s="122"/>
      <c r="D543" s="123"/>
      <c r="E543" s="124"/>
      <c r="F543" s="123"/>
      <c r="G543" s="125"/>
      <c r="H543" s="123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</row>
    <row r="544" spans="1:28" ht="28.5" customHeight="1" x14ac:dyDescent="0.35">
      <c r="A544" s="122"/>
      <c r="B544" s="122"/>
      <c r="C544" s="122"/>
      <c r="D544" s="123"/>
      <c r="E544" s="124"/>
      <c r="F544" s="123"/>
      <c r="G544" s="125"/>
      <c r="H544" s="123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</row>
    <row r="545" spans="1:28" ht="28.5" customHeight="1" x14ac:dyDescent="0.35">
      <c r="A545" s="122"/>
      <c r="B545" s="122"/>
      <c r="C545" s="122"/>
      <c r="D545" s="123"/>
      <c r="E545" s="124"/>
      <c r="F545" s="123"/>
      <c r="G545" s="125"/>
      <c r="H545" s="123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</row>
    <row r="546" spans="1:28" ht="28.5" customHeight="1" x14ac:dyDescent="0.35">
      <c r="A546" s="122"/>
      <c r="B546" s="122"/>
      <c r="C546" s="122"/>
      <c r="D546" s="123"/>
      <c r="E546" s="124"/>
      <c r="F546" s="123"/>
      <c r="G546" s="125"/>
      <c r="H546" s="123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</row>
    <row r="547" spans="1:28" ht="28.5" customHeight="1" x14ac:dyDescent="0.35">
      <c r="A547" s="122"/>
      <c r="B547" s="122"/>
      <c r="C547" s="122"/>
      <c r="D547" s="123"/>
      <c r="E547" s="124"/>
      <c r="F547" s="123"/>
      <c r="G547" s="125"/>
      <c r="H547" s="123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</row>
    <row r="548" spans="1:28" ht="28.5" customHeight="1" x14ac:dyDescent="0.35">
      <c r="A548" s="122"/>
      <c r="B548" s="122"/>
      <c r="C548" s="122"/>
      <c r="D548" s="123"/>
      <c r="E548" s="124"/>
      <c r="F548" s="123"/>
      <c r="G548" s="125"/>
      <c r="H548" s="123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</row>
    <row r="549" spans="1:28" ht="28.5" customHeight="1" x14ac:dyDescent="0.35">
      <c r="A549" s="122"/>
      <c r="B549" s="122"/>
      <c r="C549" s="122"/>
      <c r="D549" s="123"/>
      <c r="E549" s="124"/>
      <c r="F549" s="123"/>
      <c r="G549" s="125"/>
      <c r="H549" s="123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</row>
    <row r="550" spans="1:28" ht="28.5" customHeight="1" x14ac:dyDescent="0.35">
      <c r="A550" s="122"/>
      <c r="B550" s="122"/>
      <c r="C550" s="122"/>
      <c r="D550" s="123"/>
      <c r="E550" s="124"/>
      <c r="F550" s="123"/>
      <c r="G550" s="125"/>
      <c r="H550" s="123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</row>
    <row r="551" spans="1:28" ht="28.5" customHeight="1" x14ac:dyDescent="0.35">
      <c r="A551" s="122"/>
      <c r="B551" s="122"/>
      <c r="C551" s="122"/>
      <c r="D551" s="123"/>
      <c r="E551" s="124"/>
      <c r="F551" s="123"/>
      <c r="G551" s="125"/>
      <c r="H551" s="123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</row>
    <row r="552" spans="1:28" ht="28.5" customHeight="1" x14ac:dyDescent="0.35">
      <c r="A552" s="122"/>
      <c r="B552" s="122"/>
      <c r="C552" s="122"/>
      <c r="D552" s="123"/>
      <c r="E552" s="124"/>
      <c r="F552" s="123"/>
      <c r="G552" s="125"/>
      <c r="H552" s="123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</row>
    <row r="553" spans="1:28" ht="28.5" customHeight="1" x14ac:dyDescent="0.35">
      <c r="A553" s="122"/>
      <c r="B553" s="122"/>
      <c r="C553" s="122"/>
      <c r="D553" s="123"/>
      <c r="E553" s="124"/>
      <c r="F553" s="123"/>
      <c r="G553" s="125"/>
      <c r="H553" s="123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</row>
    <row r="554" spans="1:28" ht="28.5" customHeight="1" x14ac:dyDescent="0.35">
      <c r="A554" s="122"/>
      <c r="B554" s="122"/>
      <c r="C554" s="122"/>
      <c r="D554" s="123"/>
      <c r="E554" s="124"/>
      <c r="F554" s="123"/>
      <c r="G554" s="125"/>
      <c r="H554" s="123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</row>
    <row r="555" spans="1:28" ht="28.5" customHeight="1" x14ac:dyDescent="0.35">
      <c r="A555" s="122"/>
      <c r="B555" s="122"/>
      <c r="C555" s="122"/>
      <c r="D555" s="123"/>
      <c r="E555" s="124"/>
      <c r="F555" s="123"/>
      <c r="G555" s="125"/>
      <c r="H555" s="123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</row>
    <row r="556" spans="1:28" ht="28.5" customHeight="1" x14ac:dyDescent="0.35">
      <c r="A556" s="122"/>
      <c r="B556" s="122"/>
      <c r="C556" s="122"/>
      <c r="D556" s="123"/>
      <c r="E556" s="124"/>
      <c r="F556" s="123"/>
      <c r="G556" s="125"/>
      <c r="H556" s="123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</row>
    <row r="557" spans="1:28" ht="28.5" customHeight="1" x14ac:dyDescent="0.35">
      <c r="A557" s="122"/>
      <c r="B557" s="122"/>
      <c r="C557" s="122"/>
      <c r="D557" s="123"/>
      <c r="E557" s="124"/>
      <c r="F557" s="123"/>
      <c r="G557" s="125"/>
      <c r="H557" s="123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</row>
    <row r="558" spans="1:28" ht="28.5" customHeight="1" x14ac:dyDescent="0.35">
      <c r="A558" s="122"/>
      <c r="B558" s="122"/>
      <c r="C558" s="122"/>
      <c r="D558" s="123"/>
      <c r="E558" s="124"/>
      <c r="F558" s="123"/>
      <c r="G558" s="125"/>
      <c r="H558" s="123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</row>
    <row r="559" spans="1:28" ht="28.5" customHeight="1" x14ac:dyDescent="0.35">
      <c r="A559" s="122"/>
      <c r="B559" s="122"/>
      <c r="C559" s="122"/>
      <c r="D559" s="123"/>
      <c r="E559" s="124"/>
      <c r="F559" s="123"/>
      <c r="G559" s="125"/>
      <c r="H559" s="123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</row>
    <row r="560" spans="1:28" ht="28.5" customHeight="1" x14ac:dyDescent="0.35">
      <c r="A560" s="122"/>
      <c r="B560" s="122"/>
      <c r="C560" s="122"/>
      <c r="D560" s="123"/>
      <c r="E560" s="124"/>
      <c r="F560" s="123"/>
      <c r="G560" s="125"/>
      <c r="H560" s="123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</row>
    <row r="561" spans="1:28" ht="28.5" customHeight="1" x14ac:dyDescent="0.35">
      <c r="A561" s="122"/>
      <c r="B561" s="122"/>
      <c r="C561" s="122"/>
      <c r="D561" s="123"/>
      <c r="E561" s="124"/>
      <c r="F561" s="123"/>
      <c r="G561" s="125"/>
      <c r="H561" s="123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</row>
    <row r="562" spans="1:28" ht="28.5" customHeight="1" x14ac:dyDescent="0.35">
      <c r="A562" s="122"/>
      <c r="B562" s="122"/>
      <c r="C562" s="122"/>
      <c r="D562" s="123"/>
      <c r="E562" s="124"/>
      <c r="F562" s="123"/>
      <c r="G562" s="125"/>
      <c r="H562" s="123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</row>
    <row r="563" spans="1:28" ht="28.5" customHeight="1" x14ac:dyDescent="0.35">
      <c r="A563" s="122"/>
      <c r="B563" s="122"/>
      <c r="C563" s="122"/>
      <c r="D563" s="123"/>
      <c r="E563" s="124"/>
      <c r="F563" s="123"/>
      <c r="G563" s="125"/>
      <c r="H563" s="123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</row>
    <row r="564" spans="1:28" ht="28.5" customHeight="1" x14ac:dyDescent="0.35">
      <c r="A564" s="122"/>
      <c r="B564" s="122"/>
      <c r="C564" s="122"/>
      <c r="D564" s="123"/>
      <c r="E564" s="124"/>
      <c r="F564" s="123"/>
      <c r="G564" s="125"/>
      <c r="H564" s="123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</row>
    <row r="565" spans="1:28" ht="28.5" customHeight="1" x14ac:dyDescent="0.35">
      <c r="A565" s="122"/>
      <c r="B565" s="122"/>
      <c r="C565" s="122"/>
      <c r="D565" s="123"/>
      <c r="E565" s="124"/>
      <c r="F565" s="123"/>
      <c r="G565" s="125"/>
      <c r="H565" s="123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</row>
    <row r="566" spans="1:28" ht="28.5" customHeight="1" x14ac:dyDescent="0.35">
      <c r="A566" s="122"/>
      <c r="B566" s="122"/>
      <c r="C566" s="122"/>
      <c r="D566" s="123"/>
      <c r="E566" s="124"/>
      <c r="F566" s="123"/>
      <c r="G566" s="125"/>
      <c r="H566" s="123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</row>
    <row r="567" spans="1:28" ht="28.5" customHeight="1" x14ac:dyDescent="0.35">
      <c r="A567" s="122"/>
      <c r="B567" s="122"/>
      <c r="C567" s="122"/>
      <c r="D567" s="123"/>
      <c r="E567" s="124"/>
      <c r="F567" s="123"/>
      <c r="G567" s="125"/>
      <c r="H567" s="123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</row>
    <row r="568" spans="1:28" ht="28.5" customHeight="1" x14ac:dyDescent="0.35">
      <c r="A568" s="122"/>
      <c r="B568" s="122"/>
      <c r="C568" s="122"/>
      <c r="D568" s="123"/>
      <c r="E568" s="124"/>
      <c r="F568" s="123"/>
      <c r="G568" s="125"/>
      <c r="H568" s="123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</row>
    <row r="569" spans="1:28" ht="28.5" customHeight="1" x14ac:dyDescent="0.35">
      <c r="A569" s="122"/>
      <c r="B569" s="122"/>
      <c r="C569" s="122"/>
      <c r="D569" s="123"/>
      <c r="E569" s="124"/>
      <c r="F569" s="123"/>
      <c r="G569" s="125"/>
      <c r="H569" s="123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</row>
    <row r="570" spans="1:28" ht="28.5" customHeight="1" x14ac:dyDescent="0.35">
      <c r="A570" s="122"/>
      <c r="B570" s="122"/>
      <c r="C570" s="122"/>
      <c r="D570" s="123"/>
      <c r="E570" s="124"/>
      <c r="F570" s="123"/>
      <c r="G570" s="125"/>
      <c r="H570" s="123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</row>
    <row r="571" spans="1:28" ht="28.5" customHeight="1" x14ac:dyDescent="0.35">
      <c r="A571" s="122"/>
      <c r="B571" s="122"/>
      <c r="C571" s="122"/>
      <c r="D571" s="123"/>
      <c r="E571" s="124"/>
      <c r="F571" s="123"/>
      <c r="G571" s="125"/>
      <c r="H571" s="123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</row>
    <row r="572" spans="1:28" ht="28.5" customHeight="1" x14ac:dyDescent="0.35">
      <c r="A572" s="122"/>
      <c r="B572" s="122"/>
      <c r="C572" s="122"/>
      <c r="D572" s="123"/>
      <c r="E572" s="124"/>
      <c r="F572" s="123"/>
      <c r="G572" s="125"/>
      <c r="H572" s="123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</row>
    <row r="573" spans="1:28" ht="28.5" customHeight="1" x14ac:dyDescent="0.35">
      <c r="A573" s="122"/>
      <c r="B573" s="122"/>
      <c r="C573" s="122"/>
      <c r="D573" s="123"/>
      <c r="E573" s="124"/>
      <c r="F573" s="123"/>
      <c r="G573" s="125"/>
      <c r="H573" s="123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</row>
    <row r="574" spans="1:28" ht="28.5" customHeight="1" x14ac:dyDescent="0.35">
      <c r="A574" s="122"/>
      <c r="B574" s="122"/>
      <c r="C574" s="122"/>
      <c r="D574" s="123"/>
      <c r="E574" s="124"/>
      <c r="F574" s="123"/>
      <c r="G574" s="125"/>
      <c r="H574" s="123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</row>
    <row r="575" spans="1:28" ht="28.5" customHeight="1" x14ac:dyDescent="0.35">
      <c r="A575" s="122"/>
      <c r="B575" s="122"/>
      <c r="C575" s="122"/>
      <c r="D575" s="123"/>
      <c r="E575" s="124"/>
      <c r="F575" s="123"/>
      <c r="G575" s="125"/>
      <c r="H575" s="123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</row>
    <row r="576" spans="1:28" ht="28.5" customHeight="1" x14ac:dyDescent="0.35">
      <c r="A576" s="122"/>
      <c r="B576" s="122"/>
      <c r="C576" s="122"/>
      <c r="D576" s="123"/>
      <c r="E576" s="124"/>
      <c r="F576" s="123"/>
      <c r="G576" s="125"/>
      <c r="H576" s="123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</row>
    <row r="577" spans="1:28" ht="28.5" customHeight="1" x14ac:dyDescent="0.35">
      <c r="A577" s="122"/>
      <c r="B577" s="122"/>
      <c r="C577" s="122"/>
      <c r="D577" s="123"/>
      <c r="E577" s="124"/>
      <c r="F577" s="123"/>
      <c r="G577" s="125"/>
      <c r="H577" s="123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</row>
    <row r="578" spans="1:28" ht="28.5" customHeight="1" x14ac:dyDescent="0.35">
      <c r="A578" s="122"/>
      <c r="B578" s="122"/>
      <c r="C578" s="122"/>
      <c r="D578" s="123"/>
      <c r="E578" s="124"/>
      <c r="F578" s="123"/>
      <c r="G578" s="125"/>
      <c r="H578" s="123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</row>
    <row r="579" spans="1:28" ht="28.5" customHeight="1" x14ac:dyDescent="0.35">
      <c r="A579" s="122"/>
      <c r="B579" s="122"/>
      <c r="C579" s="122"/>
      <c r="D579" s="123"/>
      <c r="E579" s="124"/>
      <c r="F579" s="123"/>
      <c r="G579" s="125"/>
      <c r="H579" s="123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</row>
    <row r="580" spans="1:28" ht="28.5" customHeight="1" x14ac:dyDescent="0.35">
      <c r="A580" s="122"/>
      <c r="B580" s="122"/>
      <c r="C580" s="122"/>
      <c r="D580" s="123"/>
      <c r="E580" s="124"/>
      <c r="F580" s="123"/>
      <c r="G580" s="125"/>
      <c r="H580" s="123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</row>
    <row r="581" spans="1:28" ht="28.5" customHeight="1" x14ac:dyDescent="0.35">
      <c r="A581" s="122"/>
      <c r="B581" s="122"/>
      <c r="C581" s="122"/>
      <c r="D581" s="123"/>
      <c r="E581" s="124"/>
      <c r="F581" s="123"/>
      <c r="G581" s="125"/>
      <c r="H581" s="123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</row>
    <row r="582" spans="1:28" ht="28.5" customHeight="1" x14ac:dyDescent="0.35">
      <c r="A582" s="122"/>
      <c r="B582" s="122"/>
      <c r="C582" s="122"/>
      <c r="D582" s="123"/>
      <c r="E582" s="124"/>
      <c r="F582" s="123"/>
      <c r="G582" s="125"/>
      <c r="H582" s="123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</row>
    <row r="583" spans="1:28" ht="28.5" customHeight="1" x14ac:dyDescent="0.35">
      <c r="A583" s="122"/>
      <c r="B583" s="122"/>
      <c r="C583" s="122"/>
      <c r="D583" s="123"/>
      <c r="E583" s="124"/>
      <c r="F583" s="123"/>
      <c r="G583" s="125"/>
      <c r="H583" s="123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</row>
    <row r="584" spans="1:28" ht="28.5" customHeight="1" x14ac:dyDescent="0.35">
      <c r="A584" s="122"/>
      <c r="B584" s="122"/>
      <c r="C584" s="122"/>
      <c r="D584" s="123"/>
      <c r="E584" s="124"/>
      <c r="F584" s="123"/>
      <c r="G584" s="125"/>
      <c r="H584" s="123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</row>
    <row r="585" spans="1:28" ht="28.5" customHeight="1" x14ac:dyDescent="0.35">
      <c r="A585" s="122"/>
      <c r="B585" s="122"/>
      <c r="C585" s="122"/>
      <c r="D585" s="123"/>
      <c r="E585" s="124"/>
      <c r="F585" s="123"/>
      <c r="G585" s="125"/>
      <c r="H585" s="123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</row>
    <row r="586" spans="1:28" ht="28.5" customHeight="1" x14ac:dyDescent="0.35">
      <c r="A586" s="122"/>
      <c r="B586" s="122"/>
      <c r="C586" s="122"/>
      <c r="D586" s="123"/>
      <c r="E586" s="124"/>
      <c r="F586" s="123"/>
      <c r="G586" s="125"/>
      <c r="H586" s="123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</row>
    <row r="587" spans="1:28" ht="28.5" customHeight="1" x14ac:dyDescent="0.35">
      <c r="A587" s="122"/>
      <c r="B587" s="122"/>
      <c r="C587" s="122"/>
      <c r="D587" s="123"/>
      <c r="E587" s="124"/>
      <c r="F587" s="123"/>
      <c r="G587" s="125"/>
      <c r="H587" s="123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</row>
    <row r="588" spans="1:28" ht="28.5" customHeight="1" x14ac:dyDescent="0.35">
      <c r="A588" s="122"/>
      <c r="B588" s="122"/>
      <c r="C588" s="122"/>
      <c r="D588" s="123"/>
      <c r="E588" s="124"/>
      <c r="F588" s="123"/>
      <c r="G588" s="125"/>
      <c r="H588" s="123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</row>
    <row r="589" spans="1:28" ht="28.5" customHeight="1" x14ac:dyDescent="0.35">
      <c r="A589" s="122"/>
      <c r="B589" s="122"/>
      <c r="C589" s="122"/>
      <c r="D589" s="123"/>
      <c r="E589" s="124"/>
      <c r="F589" s="123"/>
      <c r="G589" s="125"/>
      <c r="H589" s="123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</row>
    <row r="590" spans="1:28" ht="28.5" customHeight="1" x14ac:dyDescent="0.35">
      <c r="A590" s="122"/>
      <c r="B590" s="122"/>
      <c r="C590" s="122"/>
      <c r="D590" s="123"/>
      <c r="E590" s="124"/>
      <c r="F590" s="123"/>
      <c r="G590" s="125"/>
      <c r="H590" s="123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</row>
    <row r="591" spans="1:28" ht="28.5" customHeight="1" x14ac:dyDescent="0.35">
      <c r="A591" s="122"/>
      <c r="B591" s="122"/>
      <c r="C591" s="122"/>
      <c r="D591" s="123"/>
      <c r="E591" s="124"/>
      <c r="F591" s="123"/>
      <c r="G591" s="125"/>
      <c r="H591" s="123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</row>
    <row r="592" spans="1:28" ht="28.5" customHeight="1" x14ac:dyDescent="0.35">
      <c r="A592" s="122"/>
      <c r="B592" s="122"/>
      <c r="C592" s="122"/>
      <c r="D592" s="123"/>
      <c r="E592" s="124"/>
      <c r="F592" s="123"/>
      <c r="G592" s="125"/>
      <c r="H592" s="123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</row>
    <row r="593" spans="1:28" ht="28.5" customHeight="1" x14ac:dyDescent="0.35">
      <c r="A593" s="122"/>
      <c r="B593" s="122"/>
      <c r="C593" s="122"/>
      <c r="D593" s="123"/>
      <c r="E593" s="124"/>
      <c r="F593" s="123"/>
      <c r="G593" s="125"/>
      <c r="H593" s="123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</row>
    <row r="594" spans="1:28" ht="28.5" customHeight="1" x14ac:dyDescent="0.35">
      <c r="A594" s="122"/>
      <c r="B594" s="122"/>
      <c r="C594" s="122"/>
      <c r="D594" s="123"/>
      <c r="E594" s="124"/>
      <c r="F594" s="123"/>
      <c r="G594" s="125"/>
      <c r="H594" s="123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</row>
    <row r="595" spans="1:28" ht="28.5" customHeight="1" x14ac:dyDescent="0.35">
      <c r="A595" s="122"/>
      <c r="B595" s="122"/>
      <c r="C595" s="122"/>
      <c r="D595" s="123"/>
      <c r="E595" s="124"/>
      <c r="F595" s="123"/>
      <c r="G595" s="125"/>
      <c r="H595" s="123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</row>
    <row r="596" spans="1:28" ht="28.5" customHeight="1" x14ac:dyDescent="0.35">
      <c r="A596" s="122"/>
      <c r="B596" s="122"/>
      <c r="C596" s="122"/>
      <c r="D596" s="123"/>
      <c r="E596" s="124"/>
      <c r="F596" s="123"/>
      <c r="G596" s="125"/>
      <c r="H596" s="123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</row>
    <row r="597" spans="1:28" ht="28.5" customHeight="1" x14ac:dyDescent="0.35">
      <c r="A597" s="122"/>
      <c r="B597" s="122"/>
      <c r="C597" s="122"/>
      <c r="D597" s="123"/>
      <c r="E597" s="124"/>
      <c r="F597" s="123"/>
      <c r="G597" s="125"/>
      <c r="H597" s="123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</row>
    <row r="598" spans="1:28" ht="28.5" customHeight="1" x14ac:dyDescent="0.35">
      <c r="A598" s="122"/>
      <c r="B598" s="122"/>
      <c r="C598" s="122"/>
      <c r="D598" s="123"/>
      <c r="E598" s="124"/>
      <c r="F598" s="123"/>
      <c r="G598" s="125"/>
      <c r="H598" s="123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</row>
    <row r="599" spans="1:28" ht="28.5" customHeight="1" x14ac:dyDescent="0.35">
      <c r="A599" s="122"/>
      <c r="B599" s="122"/>
      <c r="C599" s="122"/>
      <c r="D599" s="123"/>
      <c r="E599" s="124"/>
      <c r="F599" s="123"/>
      <c r="G599" s="125"/>
      <c r="H599" s="123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</row>
    <row r="600" spans="1:28" ht="28.5" customHeight="1" x14ac:dyDescent="0.35">
      <c r="A600" s="122"/>
      <c r="B600" s="122"/>
      <c r="C600" s="122"/>
      <c r="D600" s="123"/>
      <c r="E600" s="124"/>
      <c r="F600" s="123"/>
      <c r="G600" s="125"/>
      <c r="H600" s="123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</row>
    <row r="601" spans="1:28" ht="28.5" customHeight="1" x14ac:dyDescent="0.35">
      <c r="A601" s="122"/>
      <c r="B601" s="122"/>
      <c r="C601" s="122"/>
      <c r="D601" s="123"/>
      <c r="E601" s="124"/>
      <c r="F601" s="123"/>
      <c r="G601" s="125"/>
      <c r="H601" s="123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</row>
    <row r="602" spans="1:28" ht="28.5" customHeight="1" x14ac:dyDescent="0.35">
      <c r="A602" s="122"/>
      <c r="B602" s="122"/>
      <c r="C602" s="122"/>
      <c r="D602" s="123"/>
      <c r="E602" s="124"/>
      <c r="F602" s="123"/>
      <c r="G602" s="125"/>
      <c r="H602" s="123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</row>
    <row r="603" spans="1:28" ht="28.5" customHeight="1" x14ac:dyDescent="0.35">
      <c r="A603" s="122"/>
      <c r="B603" s="122"/>
      <c r="C603" s="122"/>
      <c r="D603" s="123"/>
      <c r="E603" s="124"/>
      <c r="F603" s="123"/>
      <c r="G603" s="125"/>
      <c r="H603" s="123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</row>
    <row r="604" spans="1:28" ht="28.5" customHeight="1" x14ac:dyDescent="0.35">
      <c r="A604" s="122"/>
      <c r="B604" s="122"/>
      <c r="C604" s="122"/>
      <c r="D604" s="123"/>
      <c r="E604" s="124"/>
      <c r="F604" s="123"/>
      <c r="G604" s="125"/>
      <c r="H604" s="123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</row>
    <row r="605" spans="1:28" ht="28.5" customHeight="1" x14ac:dyDescent="0.35">
      <c r="A605" s="122"/>
      <c r="B605" s="122"/>
      <c r="C605" s="122"/>
      <c r="D605" s="123"/>
      <c r="E605" s="124"/>
      <c r="F605" s="123"/>
      <c r="G605" s="125"/>
      <c r="H605" s="123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</row>
    <row r="606" spans="1:28" ht="28.5" customHeight="1" x14ac:dyDescent="0.35">
      <c r="A606" s="122"/>
      <c r="B606" s="122"/>
      <c r="C606" s="122"/>
      <c r="D606" s="123"/>
      <c r="E606" s="124"/>
      <c r="F606" s="123"/>
      <c r="G606" s="125"/>
      <c r="H606" s="123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</row>
    <row r="607" spans="1:28" ht="28.5" customHeight="1" x14ac:dyDescent="0.35">
      <c r="A607" s="122"/>
      <c r="B607" s="122"/>
      <c r="C607" s="122"/>
      <c r="D607" s="123"/>
      <c r="E607" s="124"/>
      <c r="F607" s="123"/>
      <c r="G607" s="125"/>
      <c r="H607" s="123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</row>
    <row r="608" spans="1:28" ht="28.5" customHeight="1" x14ac:dyDescent="0.35">
      <c r="A608" s="122"/>
      <c r="B608" s="122"/>
      <c r="C608" s="122"/>
      <c r="D608" s="123"/>
      <c r="E608" s="124"/>
      <c r="F608" s="123"/>
      <c r="G608" s="125"/>
      <c r="H608" s="123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</row>
    <row r="609" spans="1:28" ht="28.5" customHeight="1" x14ac:dyDescent="0.35">
      <c r="A609" s="122"/>
      <c r="B609" s="122"/>
      <c r="C609" s="122"/>
      <c r="D609" s="123"/>
      <c r="E609" s="124"/>
      <c r="F609" s="123"/>
      <c r="G609" s="125"/>
      <c r="H609" s="123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</row>
    <row r="610" spans="1:28" ht="28.5" customHeight="1" x14ac:dyDescent="0.35">
      <c r="A610" s="122"/>
      <c r="B610" s="122"/>
      <c r="C610" s="122"/>
      <c r="D610" s="123"/>
      <c r="E610" s="124"/>
      <c r="F610" s="123"/>
      <c r="G610" s="125"/>
      <c r="H610" s="123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</row>
    <row r="611" spans="1:28" ht="28.5" customHeight="1" x14ac:dyDescent="0.35">
      <c r="A611" s="122"/>
      <c r="B611" s="122"/>
      <c r="C611" s="122"/>
      <c r="D611" s="123"/>
      <c r="E611" s="124"/>
      <c r="F611" s="123"/>
      <c r="G611" s="125"/>
      <c r="H611" s="123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</row>
    <row r="612" spans="1:28" ht="28.5" customHeight="1" x14ac:dyDescent="0.35">
      <c r="A612" s="122"/>
      <c r="B612" s="122"/>
      <c r="C612" s="122"/>
      <c r="D612" s="123"/>
      <c r="E612" s="124"/>
      <c r="F612" s="123"/>
      <c r="G612" s="125"/>
      <c r="H612" s="123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</row>
    <row r="613" spans="1:28" ht="28.5" customHeight="1" x14ac:dyDescent="0.35">
      <c r="A613" s="122"/>
      <c r="B613" s="122"/>
      <c r="C613" s="122"/>
      <c r="D613" s="123"/>
      <c r="E613" s="124"/>
      <c r="F613" s="123"/>
      <c r="G613" s="125"/>
      <c r="H613" s="123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</row>
    <row r="614" spans="1:28" ht="28.5" customHeight="1" x14ac:dyDescent="0.35">
      <c r="A614" s="122"/>
      <c r="B614" s="122"/>
      <c r="C614" s="122"/>
      <c r="D614" s="123"/>
      <c r="E614" s="124"/>
      <c r="F614" s="123"/>
      <c r="G614" s="125"/>
      <c r="H614" s="123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</row>
    <row r="615" spans="1:28" ht="28.5" customHeight="1" x14ac:dyDescent="0.35">
      <c r="A615" s="122"/>
      <c r="B615" s="122"/>
      <c r="C615" s="122"/>
      <c r="D615" s="123"/>
      <c r="E615" s="124"/>
      <c r="F615" s="123"/>
      <c r="G615" s="125"/>
      <c r="H615" s="123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</row>
    <row r="616" spans="1:28" ht="28.5" customHeight="1" x14ac:dyDescent="0.35">
      <c r="A616" s="122"/>
      <c r="B616" s="122"/>
      <c r="C616" s="122"/>
      <c r="D616" s="123"/>
      <c r="E616" s="124"/>
      <c r="F616" s="123"/>
      <c r="G616" s="125"/>
      <c r="H616" s="123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</row>
    <row r="617" spans="1:28" ht="28.5" customHeight="1" x14ac:dyDescent="0.35">
      <c r="A617" s="122"/>
      <c r="B617" s="122"/>
      <c r="C617" s="122"/>
      <c r="D617" s="123"/>
      <c r="E617" s="124"/>
      <c r="F617" s="123"/>
      <c r="G617" s="125"/>
      <c r="H617" s="123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</row>
    <row r="618" spans="1:28" ht="28.5" customHeight="1" x14ac:dyDescent="0.35">
      <c r="A618" s="122"/>
      <c r="B618" s="122"/>
      <c r="C618" s="122"/>
      <c r="D618" s="123"/>
      <c r="E618" s="124"/>
      <c r="F618" s="123"/>
      <c r="G618" s="125"/>
      <c r="H618" s="123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</row>
    <row r="619" spans="1:28" ht="28.5" customHeight="1" x14ac:dyDescent="0.35">
      <c r="A619" s="122"/>
      <c r="B619" s="122"/>
      <c r="C619" s="122"/>
      <c r="D619" s="123"/>
      <c r="E619" s="124"/>
      <c r="F619" s="123"/>
      <c r="G619" s="125"/>
      <c r="H619" s="123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</row>
    <row r="620" spans="1:28" ht="28.5" customHeight="1" x14ac:dyDescent="0.35">
      <c r="A620" s="122"/>
      <c r="B620" s="122"/>
      <c r="C620" s="122"/>
      <c r="D620" s="123"/>
      <c r="E620" s="124"/>
      <c r="F620" s="123"/>
      <c r="G620" s="125"/>
      <c r="H620" s="123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</row>
    <row r="621" spans="1:28" ht="28.5" customHeight="1" x14ac:dyDescent="0.35">
      <c r="A621" s="122"/>
      <c r="B621" s="122"/>
      <c r="C621" s="122"/>
      <c r="D621" s="123"/>
      <c r="E621" s="124"/>
      <c r="F621" s="123"/>
      <c r="G621" s="125"/>
      <c r="H621" s="123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</row>
    <row r="622" spans="1:28" ht="28.5" customHeight="1" x14ac:dyDescent="0.35">
      <c r="A622" s="122"/>
      <c r="B622" s="122"/>
      <c r="C622" s="122"/>
      <c r="D622" s="123"/>
      <c r="E622" s="124"/>
      <c r="F622" s="123"/>
      <c r="G622" s="125"/>
      <c r="H622" s="123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</row>
    <row r="623" spans="1:28" ht="28.5" customHeight="1" x14ac:dyDescent="0.35">
      <c r="A623" s="122"/>
      <c r="B623" s="122"/>
      <c r="C623" s="122"/>
      <c r="D623" s="123"/>
      <c r="E623" s="124"/>
      <c r="F623" s="123"/>
      <c r="G623" s="125"/>
      <c r="H623" s="123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</row>
    <row r="624" spans="1:28" ht="28.5" customHeight="1" x14ac:dyDescent="0.35">
      <c r="A624" s="122"/>
      <c r="B624" s="122"/>
      <c r="C624" s="122"/>
      <c r="D624" s="123"/>
      <c r="E624" s="124"/>
      <c r="F624" s="123"/>
      <c r="G624" s="125"/>
      <c r="H624" s="123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</row>
    <row r="625" spans="1:28" ht="28.5" customHeight="1" x14ac:dyDescent="0.35">
      <c r="A625" s="122"/>
      <c r="B625" s="122"/>
      <c r="C625" s="122"/>
      <c r="D625" s="123"/>
      <c r="E625" s="124"/>
      <c r="F625" s="123"/>
      <c r="G625" s="125"/>
      <c r="H625" s="123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</row>
    <row r="626" spans="1:28" ht="28.5" customHeight="1" x14ac:dyDescent="0.35">
      <c r="A626" s="122"/>
      <c r="B626" s="122"/>
      <c r="C626" s="122"/>
      <c r="D626" s="123"/>
      <c r="E626" s="124"/>
      <c r="F626" s="123"/>
      <c r="G626" s="125"/>
      <c r="H626" s="123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</row>
    <row r="627" spans="1:28" ht="28.5" customHeight="1" x14ac:dyDescent="0.35">
      <c r="A627" s="122"/>
      <c r="B627" s="122"/>
      <c r="C627" s="122"/>
      <c r="D627" s="123"/>
      <c r="E627" s="124"/>
      <c r="F627" s="123"/>
      <c r="G627" s="125"/>
      <c r="H627" s="123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</row>
    <row r="628" spans="1:28" ht="28.5" customHeight="1" x14ac:dyDescent="0.35">
      <c r="A628" s="122"/>
      <c r="B628" s="122"/>
      <c r="C628" s="122"/>
      <c r="D628" s="123"/>
      <c r="E628" s="124"/>
      <c r="F628" s="123"/>
      <c r="G628" s="125"/>
      <c r="H628" s="123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</row>
    <row r="629" spans="1:28" ht="28.5" customHeight="1" x14ac:dyDescent="0.35">
      <c r="A629" s="122"/>
      <c r="B629" s="122"/>
      <c r="C629" s="122"/>
      <c r="D629" s="123"/>
      <c r="E629" s="124"/>
      <c r="F629" s="123"/>
      <c r="G629" s="125"/>
      <c r="H629" s="123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</row>
    <row r="630" spans="1:28" ht="28.5" customHeight="1" x14ac:dyDescent="0.35">
      <c r="A630" s="122"/>
      <c r="B630" s="122"/>
      <c r="C630" s="122"/>
      <c r="D630" s="123"/>
      <c r="E630" s="124"/>
      <c r="F630" s="123"/>
      <c r="G630" s="125"/>
      <c r="H630" s="123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</row>
    <row r="631" spans="1:28" ht="28.5" customHeight="1" x14ac:dyDescent="0.35">
      <c r="A631" s="122"/>
      <c r="B631" s="122"/>
      <c r="C631" s="122"/>
      <c r="D631" s="123"/>
      <c r="E631" s="124"/>
      <c r="F631" s="123"/>
      <c r="G631" s="125"/>
      <c r="H631" s="123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</row>
    <row r="632" spans="1:28" ht="28.5" customHeight="1" x14ac:dyDescent="0.35">
      <c r="A632" s="122"/>
      <c r="B632" s="122"/>
      <c r="C632" s="122"/>
      <c r="D632" s="123"/>
      <c r="E632" s="124"/>
      <c r="F632" s="123"/>
      <c r="G632" s="125"/>
      <c r="H632" s="123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</row>
    <row r="633" spans="1:28" ht="28.5" customHeight="1" x14ac:dyDescent="0.35">
      <c r="A633" s="122"/>
      <c r="B633" s="122"/>
      <c r="C633" s="122"/>
      <c r="D633" s="123"/>
      <c r="E633" s="124"/>
      <c r="F633" s="123"/>
      <c r="G633" s="125"/>
      <c r="H633" s="123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</row>
    <row r="634" spans="1:28" ht="28.5" customHeight="1" x14ac:dyDescent="0.35">
      <c r="A634" s="122"/>
      <c r="B634" s="122"/>
      <c r="C634" s="122"/>
      <c r="D634" s="123"/>
      <c r="E634" s="124"/>
      <c r="F634" s="123"/>
      <c r="G634" s="125"/>
      <c r="H634" s="123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</row>
    <row r="635" spans="1:28" ht="28.5" customHeight="1" x14ac:dyDescent="0.35">
      <c r="A635" s="122"/>
      <c r="B635" s="122"/>
      <c r="C635" s="122"/>
      <c r="D635" s="123"/>
      <c r="E635" s="124"/>
      <c r="F635" s="123"/>
      <c r="G635" s="125"/>
      <c r="H635" s="123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</row>
    <row r="636" spans="1:28" ht="28.5" customHeight="1" x14ac:dyDescent="0.35">
      <c r="A636" s="122"/>
      <c r="B636" s="122"/>
      <c r="C636" s="122"/>
      <c r="D636" s="123"/>
      <c r="E636" s="124"/>
      <c r="F636" s="123"/>
      <c r="G636" s="125"/>
      <c r="H636" s="123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</row>
    <row r="637" spans="1:28" ht="28.5" customHeight="1" x14ac:dyDescent="0.35">
      <c r="A637" s="122"/>
      <c r="B637" s="122"/>
      <c r="C637" s="122"/>
      <c r="D637" s="123"/>
      <c r="E637" s="124"/>
      <c r="F637" s="123"/>
      <c r="G637" s="125"/>
      <c r="H637" s="123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</row>
    <row r="638" spans="1:28" ht="28.5" customHeight="1" x14ac:dyDescent="0.35">
      <c r="A638" s="122"/>
      <c r="B638" s="122"/>
      <c r="C638" s="122"/>
      <c r="D638" s="123"/>
      <c r="E638" s="124"/>
      <c r="F638" s="123"/>
      <c r="G638" s="125"/>
      <c r="H638" s="123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</row>
    <row r="639" spans="1:28" ht="28.5" customHeight="1" x14ac:dyDescent="0.35">
      <c r="A639" s="122"/>
      <c r="B639" s="122"/>
      <c r="C639" s="122"/>
      <c r="D639" s="123"/>
      <c r="E639" s="124"/>
      <c r="F639" s="123"/>
      <c r="G639" s="125"/>
      <c r="H639" s="123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</row>
    <row r="640" spans="1:28" ht="28.5" customHeight="1" x14ac:dyDescent="0.35">
      <c r="A640" s="122"/>
      <c r="B640" s="122"/>
      <c r="C640" s="122"/>
      <c r="D640" s="123"/>
      <c r="E640" s="124"/>
      <c r="F640" s="123"/>
      <c r="G640" s="125"/>
      <c r="H640" s="123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</row>
    <row r="641" spans="1:28" ht="28.5" customHeight="1" x14ac:dyDescent="0.35">
      <c r="A641" s="122"/>
      <c r="B641" s="122"/>
      <c r="C641" s="122"/>
      <c r="D641" s="123"/>
      <c r="E641" s="124"/>
      <c r="F641" s="123"/>
      <c r="G641" s="125"/>
      <c r="H641" s="123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</row>
    <row r="642" spans="1:28" ht="28.5" customHeight="1" x14ac:dyDescent="0.35">
      <c r="A642" s="122"/>
      <c r="B642" s="122"/>
      <c r="C642" s="122"/>
      <c r="D642" s="123"/>
      <c r="E642" s="124"/>
      <c r="F642" s="123"/>
      <c r="G642" s="125"/>
      <c r="H642" s="123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</row>
    <row r="643" spans="1:28" ht="28.5" customHeight="1" x14ac:dyDescent="0.35">
      <c r="A643" s="122"/>
      <c r="B643" s="122"/>
      <c r="C643" s="122"/>
      <c r="D643" s="123"/>
      <c r="E643" s="124"/>
      <c r="F643" s="123"/>
      <c r="G643" s="125"/>
      <c r="H643" s="123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</row>
    <row r="644" spans="1:28" ht="28.5" customHeight="1" x14ac:dyDescent="0.35">
      <c r="A644" s="122"/>
      <c r="B644" s="122"/>
      <c r="C644" s="122"/>
      <c r="D644" s="123"/>
      <c r="E644" s="124"/>
      <c r="F644" s="123"/>
      <c r="G644" s="125"/>
      <c r="H644" s="123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</row>
    <row r="645" spans="1:28" ht="28.5" customHeight="1" x14ac:dyDescent="0.35">
      <c r="A645" s="122"/>
      <c r="B645" s="122"/>
      <c r="C645" s="122"/>
      <c r="D645" s="123"/>
      <c r="E645" s="124"/>
      <c r="F645" s="123"/>
      <c r="G645" s="125"/>
      <c r="H645" s="123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</row>
    <row r="646" spans="1:28" ht="28.5" customHeight="1" x14ac:dyDescent="0.35">
      <c r="A646" s="122"/>
      <c r="B646" s="122"/>
      <c r="C646" s="122"/>
      <c r="D646" s="123"/>
      <c r="E646" s="124"/>
      <c r="F646" s="123"/>
      <c r="G646" s="125"/>
      <c r="H646" s="123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</row>
    <row r="647" spans="1:28" ht="28.5" customHeight="1" x14ac:dyDescent="0.35">
      <c r="A647" s="122"/>
      <c r="B647" s="122"/>
      <c r="C647" s="122"/>
      <c r="D647" s="123"/>
      <c r="E647" s="124"/>
      <c r="F647" s="123"/>
      <c r="G647" s="125"/>
      <c r="H647" s="123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</row>
    <row r="648" spans="1:28" ht="28.5" customHeight="1" x14ac:dyDescent="0.35">
      <c r="A648" s="122"/>
      <c r="B648" s="122"/>
      <c r="C648" s="122"/>
      <c r="D648" s="123"/>
      <c r="E648" s="124"/>
      <c r="F648" s="123"/>
      <c r="G648" s="125"/>
      <c r="H648" s="123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</row>
    <row r="649" spans="1:28" ht="28.5" customHeight="1" x14ac:dyDescent="0.35">
      <c r="A649" s="122"/>
      <c r="B649" s="122"/>
      <c r="C649" s="122"/>
      <c r="D649" s="123"/>
      <c r="E649" s="124"/>
      <c r="F649" s="123"/>
      <c r="G649" s="125"/>
      <c r="H649" s="123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</row>
    <row r="650" spans="1:28" ht="28.5" customHeight="1" x14ac:dyDescent="0.35">
      <c r="A650" s="122"/>
      <c r="B650" s="122"/>
      <c r="C650" s="122"/>
      <c r="D650" s="123"/>
      <c r="E650" s="124"/>
      <c r="F650" s="123"/>
      <c r="G650" s="125"/>
      <c r="H650" s="123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</row>
    <row r="651" spans="1:28" ht="28.5" customHeight="1" x14ac:dyDescent="0.35">
      <c r="A651" s="122"/>
      <c r="B651" s="122"/>
      <c r="C651" s="122"/>
      <c r="D651" s="123"/>
      <c r="E651" s="124"/>
      <c r="F651" s="123"/>
      <c r="G651" s="125"/>
      <c r="H651" s="123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</row>
    <row r="652" spans="1:28" ht="28.5" customHeight="1" x14ac:dyDescent="0.35">
      <c r="A652" s="122"/>
      <c r="B652" s="122"/>
      <c r="C652" s="122"/>
      <c r="D652" s="123"/>
      <c r="E652" s="124"/>
      <c r="F652" s="123"/>
      <c r="G652" s="125"/>
      <c r="H652" s="123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</row>
    <row r="653" spans="1:28" ht="28.5" customHeight="1" x14ac:dyDescent="0.35">
      <c r="A653" s="122"/>
      <c r="B653" s="122"/>
      <c r="C653" s="122"/>
      <c r="D653" s="123"/>
      <c r="E653" s="124"/>
      <c r="F653" s="123"/>
      <c r="G653" s="125"/>
      <c r="H653" s="123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</row>
    <row r="654" spans="1:28" ht="28.5" customHeight="1" x14ac:dyDescent="0.35">
      <c r="A654" s="122"/>
      <c r="B654" s="122"/>
      <c r="C654" s="122"/>
      <c r="D654" s="123"/>
      <c r="E654" s="124"/>
      <c r="F654" s="123"/>
      <c r="G654" s="125"/>
      <c r="H654" s="123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</row>
    <row r="655" spans="1:28" ht="28.5" customHeight="1" x14ac:dyDescent="0.35">
      <c r="A655" s="122"/>
      <c r="B655" s="122"/>
      <c r="C655" s="122"/>
      <c r="D655" s="123"/>
      <c r="E655" s="124"/>
      <c r="F655" s="123"/>
      <c r="G655" s="125"/>
      <c r="H655" s="123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</row>
    <row r="656" spans="1:28" ht="28.5" customHeight="1" x14ac:dyDescent="0.35">
      <c r="A656" s="122"/>
      <c r="B656" s="122"/>
      <c r="C656" s="122"/>
      <c r="D656" s="123"/>
      <c r="E656" s="124"/>
      <c r="F656" s="123"/>
      <c r="G656" s="125"/>
      <c r="H656" s="123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</row>
    <row r="657" spans="1:28" ht="28.5" customHeight="1" x14ac:dyDescent="0.35">
      <c r="A657" s="122"/>
      <c r="B657" s="122"/>
      <c r="C657" s="122"/>
      <c r="D657" s="123"/>
      <c r="E657" s="124"/>
      <c r="F657" s="123"/>
      <c r="G657" s="125"/>
      <c r="H657" s="123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</row>
    <row r="658" spans="1:28" ht="28.5" customHeight="1" x14ac:dyDescent="0.35">
      <c r="A658" s="122"/>
      <c r="B658" s="122"/>
      <c r="C658" s="122"/>
      <c r="D658" s="123"/>
      <c r="E658" s="124"/>
      <c r="F658" s="123"/>
      <c r="G658" s="125"/>
      <c r="H658" s="123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</row>
    <row r="659" spans="1:28" ht="28.5" customHeight="1" x14ac:dyDescent="0.35">
      <c r="A659" s="122"/>
      <c r="B659" s="122"/>
      <c r="C659" s="122"/>
      <c r="D659" s="123"/>
      <c r="E659" s="124"/>
      <c r="F659" s="123"/>
      <c r="G659" s="125"/>
      <c r="H659" s="123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</row>
    <row r="660" spans="1:28" ht="28.5" customHeight="1" x14ac:dyDescent="0.35">
      <c r="A660" s="122"/>
      <c r="B660" s="122"/>
      <c r="C660" s="122"/>
      <c r="D660" s="123"/>
      <c r="E660" s="124"/>
      <c r="F660" s="123"/>
      <c r="G660" s="125"/>
      <c r="H660" s="123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</row>
    <row r="661" spans="1:28" ht="28.5" customHeight="1" x14ac:dyDescent="0.35">
      <c r="A661" s="122"/>
      <c r="B661" s="122"/>
      <c r="C661" s="122"/>
      <c r="D661" s="123"/>
      <c r="E661" s="124"/>
      <c r="F661" s="123"/>
      <c r="G661" s="125"/>
      <c r="H661" s="123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</row>
    <row r="662" spans="1:28" ht="28.5" customHeight="1" x14ac:dyDescent="0.35">
      <c r="A662" s="122"/>
      <c r="B662" s="122"/>
      <c r="C662" s="122"/>
      <c r="D662" s="123"/>
      <c r="E662" s="124"/>
      <c r="F662" s="123"/>
      <c r="G662" s="125"/>
      <c r="H662" s="123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</row>
    <row r="663" spans="1:28" ht="28.5" customHeight="1" x14ac:dyDescent="0.35">
      <c r="A663" s="122"/>
      <c r="B663" s="122"/>
      <c r="C663" s="122"/>
      <c r="D663" s="123"/>
      <c r="E663" s="124"/>
      <c r="F663" s="123"/>
      <c r="G663" s="125"/>
      <c r="H663" s="123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</row>
    <row r="664" spans="1:28" ht="28.5" customHeight="1" x14ac:dyDescent="0.35">
      <c r="A664" s="122"/>
      <c r="B664" s="122"/>
      <c r="C664" s="122"/>
      <c r="D664" s="123"/>
      <c r="E664" s="124"/>
      <c r="F664" s="123"/>
      <c r="G664" s="125"/>
      <c r="H664" s="123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</row>
    <row r="665" spans="1:28" ht="28.5" customHeight="1" x14ac:dyDescent="0.35">
      <c r="A665" s="122"/>
      <c r="B665" s="122"/>
      <c r="C665" s="122"/>
      <c r="D665" s="123"/>
      <c r="E665" s="124"/>
      <c r="F665" s="123"/>
      <c r="G665" s="125"/>
      <c r="H665" s="123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</row>
    <row r="666" spans="1:28" ht="28.5" customHeight="1" x14ac:dyDescent="0.35">
      <c r="A666" s="122"/>
      <c r="B666" s="122"/>
      <c r="C666" s="122"/>
      <c r="D666" s="123"/>
      <c r="E666" s="124"/>
      <c r="F666" s="123"/>
      <c r="G666" s="125"/>
      <c r="H666" s="123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</row>
    <row r="667" spans="1:28" ht="28.5" customHeight="1" x14ac:dyDescent="0.35">
      <c r="A667" s="122"/>
      <c r="B667" s="122"/>
      <c r="C667" s="122"/>
      <c r="D667" s="123"/>
      <c r="E667" s="124"/>
      <c r="F667" s="123"/>
      <c r="G667" s="125"/>
      <c r="H667" s="123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</row>
    <row r="668" spans="1:28" ht="28.5" customHeight="1" x14ac:dyDescent="0.35">
      <c r="A668" s="122"/>
      <c r="B668" s="122"/>
      <c r="C668" s="122"/>
      <c r="D668" s="123"/>
      <c r="E668" s="124"/>
      <c r="F668" s="123"/>
      <c r="G668" s="125"/>
      <c r="H668" s="123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</row>
    <row r="669" spans="1:28" ht="28.5" customHeight="1" x14ac:dyDescent="0.35">
      <c r="A669" s="122"/>
      <c r="B669" s="122"/>
      <c r="C669" s="122"/>
      <c r="D669" s="123"/>
      <c r="E669" s="124"/>
      <c r="F669" s="123"/>
      <c r="G669" s="125"/>
      <c r="H669" s="123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</row>
    <row r="670" spans="1:28" ht="28.5" customHeight="1" x14ac:dyDescent="0.35">
      <c r="A670" s="122"/>
      <c r="B670" s="122"/>
      <c r="C670" s="122"/>
      <c r="D670" s="123"/>
      <c r="E670" s="124"/>
      <c r="F670" s="123"/>
      <c r="G670" s="125"/>
      <c r="H670" s="123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</row>
    <row r="671" spans="1:28" ht="28.5" customHeight="1" x14ac:dyDescent="0.35">
      <c r="A671" s="122"/>
      <c r="B671" s="122"/>
      <c r="C671" s="122"/>
      <c r="D671" s="123"/>
      <c r="E671" s="124"/>
      <c r="F671" s="123"/>
      <c r="G671" s="125"/>
      <c r="H671" s="123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</row>
    <row r="672" spans="1:28" ht="28.5" customHeight="1" x14ac:dyDescent="0.35">
      <c r="A672" s="122"/>
      <c r="B672" s="122"/>
      <c r="C672" s="122"/>
      <c r="D672" s="123"/>
      <c r="E672" s="124"/>
      <c r="F672" s="123"/>
      <c r="G672" s="125"/>
      <c r="H672" s="123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</row>
    <row r="673" spans="1:28" ht="28.5" customHeight="1" x14ac:dyDescent="0.35">
      <c r="A673" s="122"/>
      <c r="B673" s="122"/>
      <c r="C673" s="122"/>
      <c r="D673" s="123"/>
      <c r="E673" s="124"/>
      <c r="F673" s="123"/>
      <c r="G673" s="125"/>
      <c r="H673" s="123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</row>
    <row r="674" spans="1:28" ht="28.5" customHeight="1" x14ac:dyDescent="0.35">
      <c r="A674" s="122"/>
      <c r="B674" s="122"/>
      <c r="C674" s="122"/>
      <c r="D674" s="123"/>
      <c r="E674" s="124"/>
      <c r="F674" s="123"/>
      <c r="G674" s="125"/>
      <c r="H674" s="123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</row>
    <row r="675" spans="1:28" ht="28.5" customHeight="1" x14ac:dyDescent="0.35">
      <c r="A675" s="122"/>
      <c r="B675" s="122"/>
      <c r="C675" s="122"/>
      <c r="D675" s="123"/>
      <c r="E675" s="124"/>
      <c r="F675" s="123"/>
      <c r="G675" s="125"/>
      <c r="H675" s="123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</row>
    <row r="676" spans="1:28" ht="28.5" customHeight="1" x14ac:dyDescent="0.35">
      <c r="A676" s="122"/>
      <c r="B676" s="122"/>
      <c r="C676" s="122"/>
      <c r="D676" s="123"/>
      <c r="E676" s="124"/>
      <c r="F676" s="123"/>
      <c r="G676" s="125"/>
      <c r="H676" s="123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</row>
    <row r="677" spans="1:28" ht="28.5" customHeight="1" x14ac:dyDescent="0.35">
      <c r="A677" s="122"/>
      <c r="B677" s="122"/>
      <c r="C677" s="122"/>
      <c r="D677" s="123"/>
      <c r="E677" s="124"/>
      <c r="F677" s="123"/>
      <c r="G677" s="125"/>
      <c r="H677" s="123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</row>
    <row r="678" spans="1:28" ht="28.5" customHeight="1" x14ac:dyDescent="0.35">
      <c r="A678" s="122"/>
      <c r="B678" s="122"/>
      <c r="C678" s="122"/>
      <c r="D678" s="123"/>
      <c r="E678" s="124"/>
      <c r="F678" s="123"/>
      <c r="G678" s="125"/>
      <c r="H678" s="123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</row>
    <row r="679" spans="1:28" ht="28.5" customHeight="1" x14ac:dyDescent="0.35">
      <c r="A679" s="122"/>
      <c r="B679" s="122"/>
      <c r="C679" s="122"/>
      <c r="D679" s="123"/>
      <c r="E679" s="124"/>
      <c r="F679" s="123"/>
      <c r="G679" s="125"/>
      <c r="H679" s="123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</row>
    <row r="680" spans="1:28" ht="28.5" customHeight="1" x14ac:dyDescent="0.35">
      <c r="A680" s="122"/>
      <c r="B680" s="122"/>
      <c r="C680" s="122"/>
      <c r="D680" s="123"/>
      <c r="E680" s="124"/>
      <c r="F680" s="123"/>
      <c r="G680" s="125"/>
      <c r="H680" s="123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</row>
    <row r="681" spans="1:28" ht="28.5" customHeight="1" x14ac:dyDescent="0.35">
      <c r="A681" s="122"/>
      <c r="B681" s="122"/>
      <c r="C681" s="122"/>
      <c r="D681" s="123"/>
      <c r="E681" s="124"/>
      <c r="F681" s="123"/>
      <c r="G681" s="125"/>
      <c r="H681" s="123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</row>
    <row r="682" spans="1:28" ht="28.5" customHeight="1" x14ac:dyDescent="0.35">
      <c r="A682" s="122"/>
      <c r="B682" s="122"/>
      <c r="C682" s="122"/>
      <c r="D682" s="123"/>
      <c r="E682" s="124"/>
      <c r="F682" s="123"/>
      <c r="G682" s="125"/>
      <c r="H682" s="123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</row>
    <row r="683" spans="1:28" ht="28.5" customHeight="1" x14ac:dyDescent="0.35">
      <c r="A683" s="122"/>
      <c r="B683" s="122"/>
      <c r="C683" s="122"/>
      <c r="D683" s="123"/>
      <c r="E683" s="124"/>
      <c r="F683" s="123"/>
      <c r="G683" s="125"/>
      <c r="H683" s="123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</row>
    <row r="684" spans="1:28" ht="28.5" customHeight="1" x14ac:dyDescent="0.35">
      <c r="A684" s="122"/>
      <c r="B684" s="122"/>
      <c r="C684" s="122"/>
      <c r="D684" s="123"/>
      <c r="E684" s="124"/>
      <c r="F684" s="123"/>
      <c r="G684" s="125"/>
      <c r="H684" s="123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</row>
    <row r="685" spans="1:28" ht="28.5" customHeight="1" x14ac:dyDescent="0.35">
      <c r="A685" s="122"/>
      <c r="B685" s="122"/>
      <c r="C685" s="122"/>
      <c r="D685" s="123"/>
      <c r="E685" s="124"/>
      <c r="F685" s="123"/>
      <c r="G685" s="125"/>
      <c r="H685" s="123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</row>
    <row r="686" spans="1:28" ht="28.5" customHeight="1" x14ac:dyDescent="0.35">
      <c r="A686" s="122"/>
      <c r="B686" s="122"/>
      <c r="C686" s="122"/>
      <c r="D686" s="123"/>
      <c r="E686" s="124"/>
      <c r="F686" s="123"/>
      <c r="G686" s="125"/>
      <c r="H686" s="123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</row>
    <row r="687" spans="1:28" ht="28.5" customHeight="1" x14ac:dyDescent="0.35">
      <c r="A687" s="122"/>
      <c r="B687" s="122"/>
      <c r="C687" s="122"/>
      <c r="D687" s="123"/>
      <c r="E687" s="124"/>
      <c r="F687" s="123"/>
      <c r="G687" s="125"/>
      <c r="H687" s="123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</row>
    <row r="688" spans="1:28" ht="28.5" customHeight="1" x14ac:dyDescent="0.35">
      <c r="A688" s="122"/>
      <c r="B688" s="122"/>
      <c r="C688" s="122"/>
      <c r="D688" s="123"/>
      <c r="E688" s="124"/>
      <c r="F688" s="123"/>
      <c r="G688" s="125"/>
      <c r="H688" s="123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</row>
    <row r="689" spans="1:28" ht="28.5" customHeight="1" x14ac:dyDescent="0.35">
      <c r="A689" s="122"/>
      <c r="B689" s="122"/>
      <c r="C689" s="122"/>
      <c r="D689" s="123"/>
      <c r="E689" s="124"/>
      <c r="F689" s="123"/>
      <c r="G689" s="125"/>
      <c r="H689" s="123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</row>
    <row r="690" spans="1:28" ht="28.5" customHeight="1" x14ac:dyDescent="0.35">
      <c r="A690" s="122"/>
      <c r="B690" s="122"/>
      <c r="C690" s="122"/>
      <c r="D690" s="123"/>
      <c r="E690" s="124"/>
      <c r="F690" s="123"/>
      <c r="G690" s="125"/>
      <c r="H690" s="123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</row>
    <row r="691" spans="1:28" ht="28.5" customHeight="1" x14ac:dyDescent="0.35">
      <c r="A691" s="122"/>
      <c r="B691" s="122"/>
      <c r="C691" s="122"/>
      <c r="D691" s="123"/>
      <c r="E691" s="124"/>
      <c r="F691" s="123"/>
      <c r="G691" s="125"/>
      <c r="H691" s="123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</row>
    <row r="692" spans="1:28" ht="28.5" customHeight="1" x14ac:dyDescent="0.35">
      <c r="A692" s="122"/>
      <c r="B692" s="122"/>
      <c r="C692" s="122"/>
      <c r="D692" s="123"/>
      <c r="E692" s="124"/>
      <c r="F692" s="123"/>
      <c r="G692" s="125"/>
      <c r="H692" s="123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</row>
    <row r="693" spans="1:28" ht="28.5" customHeight="1" x14ac:dyDescent="0.35">
      <c r="A693" s="122"/>
      <c r="B693" s="122"/>
      <c r="C693" s="122"/>
      <c r="D693" s="123"/>
      <c r="E693" s="124"/>
      <c r="F693" s="123"/>
      <c r="G693" s="125"/>
      <c r="H693" s="123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</row>
    <row r="694" spans="1:28" ht="28.5" customHeight="1" x14ac:dyDescent="0.35">
      <c r="A694" s="122"/>
      <c r="B694" s="122"/>
      <c r="C694" s="122"/>
      <c r="D694" s="123"/>
      <c r="E694" s="124"/>
      <c r="F694" s="123"/>
      <c r="G694" s="125"/>
      <c r="H694" s="123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</row>
    <row r="695" spans="1:28" ht="28.5" customHeight="1" x14ac:dyDescent="0.35">
      <c r="A695" s="122"/>
      <c r="B695" s="122"/>
      <c r="C695" s="122"/>
      <c r="D695" s="123"/>
      <c r="E695" s="124"/>
      <c r="F695" s="123"/>
      <c r="G695" s="125"/>
      <c r="H695" s="123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</row>
    <row r="696" spans="1:28" ht="28.5" customHeight="1" x14ac:dyDescent="0.35">
      <c r="A696" s="122"/>
      <c r="B696" s="122"/>
      <c r="C696" s="122"/>
      <c r="D696" s="123"/>
      <c r="E696" s="124"/>
      <c r="F696" s="123"/>
      <c r="G696" s="125"/>
      <c r="H696" s="123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</row>
    <row r="697" spans="1:28" ht="28.5" customHeight="1" x14ac:dyDescent="0.35">
      <c r="A697" s="122"/>
      <c r="B697" s="122"/>
      <c r="C697" s="122"/>
      <c r="D697" s="123"/>
      <c r="E697" s="124"/>
      <c r="F697" s="123"/>
      <c r="G697" s="125"/>
      <c r="H697" s="123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</row>
    <row r="698" spans="1:28" ht="28.5" customHeight="1" x14ac:dyDescent="0.35">
      <c r="A698" s="122"/>
      <c r="B698" s="122"/>
      <c r="C698" s="122"/>
      <c r="D698" s="123"/>
      <c r="E698" s="124"/>
      <c r="F698" s="123"/>
      <c r="G698" s="125"/>
      <c r="H698" s="123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</row>
    <row r="699" spans="1:28" ht="28.5" customHeight="1" x14ac:dyDescent="0.35">
      <c r="A699" s="122"/>
      <c r="B699" s="122"/>
      <c r="C699" s="122"/>
      <c r="D699" s="123"/>
      <c r="E699" s="124"/>
      <c r="F699" s="123"/>
      <c r="G699" s="125"/>
      <c r="H699" s="123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</row>
    <row r="700" spans="1:28" ht="28.5" customHeight="1" x14ac:dyDescent="0.35">
      <c r="A700" s="122"/>
      <c r="B700" s="122"/>
      <c r="C700" s="122"/>
      <c r="D700" s="123"/>
      <c r="E700" s="124"/>
      <c r="F700" s="123"/>
      <c r="G700" s="125"/>
      <c r="H700" s="123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</row>
    <row r="701" spans="1:28" ht="28.5" customHeight="1" x14ac:dyDescent="0.35">
      <c r="A701" s="122"/>
      <c r="B701" s="122"/>
      <c r="C701" s="122"/>
      <c r="D701" s="123"/>
      <c r="E701" s="124"/>
      <c r="F701" s="123"/>
      <c r="G701" s="125"/>
      <c r="H701" s="123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</row>
    <row r="702" spans="1:28" ht="28.5" customHeight="1" x14ac:dyDescent="0.35">
      <c r="A702" s="122"/>
      <c r="B702" s="122"/>
      <c r="C702" s="122"/>
      <c r="D702" s="123"/>
      <c r="E702" s="124"/>
      <c r="F702" s="123"/>
      <c r="G702" s="125"/>
      <c r="H702" s="123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</row>
    <row r="703" spans="1:28" ht="28.5" customHeight="1" x14ac:dyDescent="0.35">
      <c r="A703" s="122"/>
      <c r="B703" s="122"/>
      <c r="C703" s="122"/>
      <c r="D703" s="123"/>
      <c r="E703" s="124"/>
      <c r="F703" s="123"/>
      <c r="G703" s="125"/>
      <c r="H703" s="123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</row>
    <row r="704" spans="1:28" ht="28.5" customHeight="1" x14ac:dyDescent="0.35">
      <c r="A704" s="122"/>
      <c r="B704" s="122"/>
      <c r="C704" s="122"/>
      <c r="D704" s="123"/>
      <c r="E704" s="124"/>
      <c r="F704" s="123"/>
      <c r="G704" s="125"/>
      <c r="H704" s="123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</row>
    <row r="705" spans="1:28" ht="28.5" customHeight="1" x14ac:dyDescent="0.35">
      <c r="A705" s="122"/>
      <c r="B705" s="122"/>
      <c r="C705" s="122"/>
      <c r="D705" s="123"/>
      <c r="E705" s="124"/>
      <c r="F705" s="123"/>
      <c r="G705" s="125"/>
      <c r="H705" s="123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</row>
    <row r="706" spans="1:28" ht="28.5" customHeight="1" x14ac:dyDescent="0.35">
      <c r="A706" s="122"/>
      <c r="B706" s="122"/>
      <c r="C706" s="122"/>
      <c r="D706" s="123"/>
      <c r="E706" s="124"/>
      <c r="F706" s="123"/>
      <c r="G706" s="125"/>
      <c r="H706" s="123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</row>
    <row r="707" spans="1:28" ht="28.5" customHeight="1" x14ac:dyDescent="0.35">
      <c r="A707" s="122"/>
      <c r="B707" s="122"/>
      <c r="C707" s="122"/>
      <c r="D707" s="123"/>
      <c r="E707" s="124"/>
      <c r="F707" s="123"/>
      <c r="G707" s="125"/>
      <c r="H707" s="123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</row>
    <row r="708" spans="1:28" ht="28.5" customHeight="1" x14ac:dyDescent="0.35">
      <c r="A708" s="122"/>
      <c r="B708" s="122"/>
      <c r="C708" s="122"/>
      <c r="D708" s="123"/>
      <c r="E708" s="124"/>
      <c r="F708" s="123"/>
      <c r="G708" s="125"/>
      <c r="H708" s="123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</row>
    <row r="709" spans="1:28" ht="28.5" customHeight="1" x14ac:dyDescent="0.35">
      <c r="A709" s="122"/>
      <c r="B709" s="122"/>
      <c r="C709" s="122"/>
      <c r="D709" s="123"/>
      <c r="E709" s="124"/>
      <c r="F709" s="123"/>
      <c r="G709" s="125"/>
      <c r="H709" s="123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</row>
    <row r="710" spans="1:28" ht="28.5" customHeight="1" x14ac:dyDescent="0.35">
      <c r="A710" s="122"/>
      <c r="B710" s="122"/>
      <c r="C710" s="122"/>
      <c r="D710" s="123"/>
      <c r="E710" s="124"/>
      <c r="F710" s="123"/>
      <c r="G710" s="125"/>
      <c r="H710" s="123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</row>
    <row r="711" spans="1:28" ht="28.5" customHeight="1" x14ac:dyDescent="0.35">
      <c r="A711" s="122"/>
      <c r="B711" s="122"/>
      <c r="C711" s="122"/>
      <c r="D711" s="123"/>
      <c r="E711" s="124"/>
      <c r="F711" s="123"/>
      <c r="G711" s="125"/>
      <c r="H711" s="123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</row>
    <row r="712" spans="1:28" ht="28.5" customHeight="1" x14ac:dyDescent="0.35">
      <c r="A712" s="122"/>
      <c r="B712" s="122"/>
      <c r="C712" s="122"/>
      <c r="D712" s="123"/>
      <c r="E712" s="124"/>
      <c r="F712" s="123"/>
      <c r="G712" s="125"/>
      <c r="H712" s="123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</row>
    <row r="713" spans="1:28" ht="28.5" customHeight="1" x14ac:dyDescent="0.35">
      <c r="A713" s="122"/>
      <c r="B713" s="122"/>
      <c r="C713" s="122"/>
      <c r="D713" s="123"/>
      <c r="E713" s="124"/>
      <c r="F713" s="123"/>
      <c r="G713" s="125"/>
      <c r="H713" s="123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</row>
    <row r="714" spans="1:28" ht="28.5" customHeight="1" x14ac:dyDescent="0.35">
      <c r="A714" s="122"/>
      <c r="B714" s="122"/>
      <c r="C714" s="122"/>
      <c r="D714" s="123"/>
      <c r="E714" s="124"/>
      <c r="F714" s="123"/>
      <c r="G714" s="125"/>
      <c r="H714" s="123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</row>
    <row r="715" spans="1:28" ht="28.5" customHeight="1" x14ac:dyDescent="0.35">
      <c r="A715" s="122"/>
      <c r="B715" s="122"/>
      <c r="C715" s="122"/>
      <c r="D715" s="123"/>
      <c r="E715" s="124"/>
      <c r="F715" s="123"/>
      <c r="G715" s="125"/>
      <c r="H715" s="123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</row>
    <row r="716" spans="1:28" ht="28.5" customHeight="1" x14ac:dyDescent="0.35">
      <c r="A716" s="122"/>
      <c r="B716" s="122"/>
      <c r="C716" s="122"/>
      <c r="D716" s="123"/>
      <c r="E716" s="124"/>
      <c r="F716" s="123"/>
      <c r="G716" s="125"/>
      <c r="H716" s="123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</row>
    <row r="717" spans="1:28" ht="28.5" customHeight="1" x14ac:dyDescent="0.35">
      <c r="A717" s="122"/>
      <c r="B717" s="122"/>
      <c r="C717" s="122"/>
      <c r="D717" s="123"/>
      <c r="E717" s="124"/>
      <c r="F717" s="123"/>
      <c r="G717" s="125"/>
      <c r="H717" s="123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</row>
    <row r="718" spans="1:28" ht="28.5" customHeight="1" x14ac:dyDescent="0.35">
      <c r="A718" s="122"/>
      <c r="B718" s="122"/>
      <c r="C718" s="122"/>
      <c r="D718" s="123"/>
      <c r="E718" s="124"/>
      <c r="F718" s="123"/>
      <c r="G718" s="125"/>
      <c r="H718" s="123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</row>
    <row r="719" spans="1:28" ht="28.5" customHeight="1" x14ac:dyDescent="0.35">
      <c r="A719" s="122"/>
      <c r="B719" s="122"/>
      <c r="C719" s="122"/>
      <c r="D719" s="123"/>
      <c r="E719" s="124"/>
      <c r="F719" s="123"/>
      <c r="G719" s="125"/>
      <c r="H719" s="123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</row>
    <row r="720" spans="1:28" ht="28.5" customHeight="1" x14ac:dyDescent="0.35">
      <c r="A720" s="122"/>
      <c r="B720" s="122"/>
      <c r="C720" s="122"/>
      <c r="D720" s="123"/>
      <c r="E720" s="124"/>
      <c r="F720" s="123"/>
      <c r="G720" s="125"/>
      <c r="H720" s="123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</row>
    <row r="721" spans="1:28" ht="28.5" customHeight="1" x14ac:dyDescent="0.35">
      <c r="A721" s="122"/>
      <c r="B721" s="122"/>
      <c r="C721" s="122"/>
      <c r="D721" s="123"/>
      <c r="E721" s="124"/>
      <c r="F721" s="123"/>
      <c r="G721" s="125"/>
      <c r="H721" s="123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</row>
    <row r="722" spans="1:28" ht="28.5" customHeight="1" x14ac:dyDescent="0.35">
      <c r="A722" s="122"/>
      <c r="B722" s="122"/>
      <c r="C722" s="122"/>
      <c r="D722" s="123"/>
      <c r="E722" s="124"/>
      <c r="F722" s="123"/>
      <c r="G722" s="125"/>
      <c r="H722" s="123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</row>
    <row r="723" spans="1:28" ht="28.5" customHeight="1" x14ac:dyDescent="0.35">
      <c r="A723" s="122"/>
      <c r="B723" s="122"/>
      <c r="C723" s="122"/>
      <c r="D723" s="123"/>
      <c r="E723" s="124"/>
      <c r="F723" s="123"/>
      <c r="G723" s="125"/>
      <c r="H723" s="123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</row>
    <row r="724" spans="1:28" ht="28.5" customHeight="1" x14ac:dyDescent="0.35">
      <c r="A724" s="122"/>
      <c r="B724" s="122"/>
      <c r="C724" s="122"/>
      <c r="D724" s="123"/>
      <c r="E724" s="124"/>
      <c r="F724" s="123"/>
      <c r="G724" s="125"/>
      <c r="H724" s="123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</row>
    <row r="725" spans="1:28" ht="28.5" customHeight="1" x14ac:dyDescent="0.35">
      <c r="A725" s="122"/>
      <c r="B725" s="122"/>
      <c r="C725" s="122"/>
      <c r="D725" s="123"/>
      <c r="E725" s="124"/>
      <c r="F725" s="123"/>
      <c r="G725" s="125"/>
      <c r="H725" s="123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</row>
    <row r="726" spans="1:28" ht="28.5" customHeight="1" x14ac:dyDescent="0.35">
      <c r="A726" s="122"/>
      <c r="B726" s="122"/>
      <c r="C726" s="122"/>
      <c r="D726" s="123"/>
      <c r="E726" s="124"/>
      <c r="F726" s="123"/>
      <c r="G726" s="125"/>
      <c r="H726" s="123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</row>
    <row r="727" spans="1:28" ht="28.5" customHeight="1" x14ac:dyDescent="0.35">
      <c r="A727" s="122"/>
      <c r="B727" s="122"/>
      <c r="C727" s="122"/>
      <c r="D727" s="123"/>
      <c r="E727" s="124"/>
      <c r="F727" s="123"/>
      <c r="G727" s="125"/>
      <c r="H727" s="123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</row>
    <row r="728" spans="1:28" ht="28.5" customHeight="1" x14ac:dyDescent="0.35">
      <c r="A728" s="122"/>
      <c r="B728" s="122"/>
      <c r="C728" s="122"/>
      <c r="D728" s="123"/>
      <c r="E728" s="124"/>
      <c r="F728" s="123"/>
      <c r="G728" s="125"/>
      <c r="H728" s="123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</row>
    <row r="729" spans="1:28" ht="28.5" customHeight="1" x14ac:dyDescent="0.35">
      <c r="A729" s="122"/>
      <c r="B729" s="122"/>
      <c r="C729" s="122"/>
      <c r="D729" s="123"/>
      <c r="E729" s="124"/>
      <c r="F729" s="123"/>
      <c r="G729" s="125"/>
      <c r="H729" s="123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</row>
    <row r="730" spans="1:28" ht="28.5" customHeight="1" x14ac:dyDescent="0.35">
      <c r="A730" s="122"/>
      <c r="B730" s="122"/>
      <c r="C730" s="122"/>
      <c r="D730" s="123"/>
      <c r="E730" s="124"/>
      <c r="F730" s="123"/>
      <c r="G730" s="125"/>
      <c r="H730" s="123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</row>
    <row r="731" spans="1:28" ht="28.5" customHeight="1" x14ac:dyDescent="0.35">
      <c r="A731" s="122"/>
      <c r="B731" s="122"/>
      <c r="C731" s="122"/>
      <c r="D731" s="123"/>
      <c r="E731" s="124"/>
      <c r="F731" s="123"/>
      <c r="G731" s="125"/>
      <c r="H731" s="123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</row>
    <row r="732" spans="1:28" ht="28.5" customHeight="1" x14ac:dyDescent="0.35">
      <c r="A732" s="122"/>
      <c r="B732" s="122"/>
      <c r="C732" s="122"/>
      <c r="D732" s="123"/>
      <c r="E732" s="124"/>
      <c r="F732" s="123"/>
      <c r="G732" s="125"/>
      <c r="H732" s="123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</row>
    <row r="733" spans="1:28" ht="28.5" customHeight="1" x14ac:dyDescent="0.35">
      <c r="A733" s="122"/>
      <c r="B733" s="122"/>
      <c r="C733" s="122"/>
      <c r="D733" s="123"/>
      <c r="E733" s="124"/>
      <c r="F733" s="123"/>
      <c r="G733" s="125"/>
      <c r="H733" s="123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</row>
    <row r="734" spans="1:28" ht="28.5" customHeight="1" x14ac:dyDescent="0.35">
      <c r="A734" s="122"/>
      <c r="B734" s="122"/>
      <c r="C734" s="122"/>
      <c r="D734" s="123"/>
      <c r="E734" s="124"/>
      <c r="F734" s="123"/>
      <c r="G734" s="125"/>
      <c r="H734" s="123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</row>
    <row r="735" spans="1:28" ht="28.5" customHeight="1" x14ac:dyDescent="0.35">
      <c r="A735" s="122"/>
      <c r="B735" s="122"/>
      <c r="C735" s="122"/>
      <c r="D735" s="123"/>
      <c r="E735" s="124"/>
      <c r="F735" s="123"/>
      <c r="G735" s="125"/>
      <c r="H735" s="123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</row>
    <row r="736" spans="1:28" ht="28.5" customHeight="1" x14ac:dyDescent="0.35">
      <c r="A736" s="122"/>
      <c r="B736" s="122"/>
      <c r="C736" s="122"/>
      <c r="D736" s="123"/>
      <c r="E736" s="124"/>
      <c r="F736" s="123"/>
      <c r="G736" s="125"/>
      <c r="H736" s="123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</row>
    <row r="737" spans="1:28" ht="28.5" customHeight="1" x14ac:dyDescent="0.35">
      <c r="A737" s="122"/>
      <c r="B737" s="122"/>
      <c r="C737" s="122"/>
      <c r="D737" s="123"/>
      <c r="E737" s="124"/>
      <c r="F737" s="123"/>
      <c r="G737" s="125"/>
      <c r="H737" s="123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</row>
    <row r="738" spans="1:28" ht="28.5" customHeight="1" x14ac:dyDescent="0.35">
      <c r="A738" s="122"/>
      <c r="B738" s="122"/>
      <c r="C738" s="122"/>
      <c r="D738" s="123"/>
      <c r="E738" s="124"/>
      <c r="F738" s="123"/>
      <c r="G738" s="125"/>
      <c r="H738" s="123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</row>
    <row r="739" spans="1:28" ht="28.5" customHeight="1" x14ac:dyDescent="0.35">
      <c r="A739" s="122"/>
      <c r="B739" s="122"/>
      <c r="C739" s="122"/>
      <c r="D739" s="123"/>
      <c r="E739" s="124"/>
      <c r="F739" s="123"/>
      <c r="G739" s="125"/>
      <c r="H739" s="123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</row>
    <row r="740" spans="1:28" ht="28.5" customHeight="1" x14ac:dyDescent="0.35">
      <c r="A740" s="122"/>
      <c r="B740" s="122"/>
      <c r="C740" s="122"/>
      <c r="D740" s="123"/>
      <c r="E740" s="124"/>
      <c r="F740" s="123"/>
      <c r="G740" s="125"/>
      <c r="H740" s="123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</row>
    <row r="741" spans="1:28" ht="28.5" customHeight="1" x14ac:dyDescent="0.35">
      <c r="A741" s="122"/>
      <c r="B741" s="122"/>
      <c r="C741" s="122"/>
      <c r="D741" s="123"/>
      <c r="E741" s="124"/>
      <c r="F741" s="123"/>
      <c r="G741" s="125"/>
      <c r="H741" s="123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</row>
    <row r="742" spans="1:28" ht="28.5" customHeight="1" x14ac:dyDescent="0.35">
      <c r="A742" s="122"/>
      <c r="B742" s="122"/>
      <c r="C742" s="122"/>
      <c r="D742" s="123"/>
      <c r="E742" s="124"/>
      <c r="F742" s="123"/>
      <c r="G742" s="125"/>
      <c r="H742" s="123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</row>
    <row r="743" spans="1:28" ht="28.5" customHeight="1" x14ac:dyDescent="0.35">
      <c r="A743" s="122"/>
      <c r="B743" s="122"/>
      <c r="C743" s="122"/>
      <c r="D743" s="123"/>
      <c r="E743" s="124"/>
      <c r="F743" s="123"/>
      <c r="G743" s="125"/>
      <c r="H743" s="123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</row>
    <row r="744" spans="1:28" ht="28.5" customHeight="1" x14ac:dyDescent="0.35">
      <c r="A744" s="122"/>
      <c r="B744" s="122"/>
      <c r="C744" s="122"/>
      <c r="D744" s="123"/>
      <c r="E744" s="124"/>
      <c r="F744" s="123"/>
      <c r="G744" s="125"/>
      <c r="H744" s="123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</row>
    <row r="745" spans="1:28" ht="28.5" customHeight="1" x14ac:dyDescent="0.35">
      <c r="A745" s="122"/>
      <c r="B745" s="122"/>
      <c r="C745" s="122"/>
      <c r="D745" s="123"/>
      <c r="E745" s="124"/>
      <c r="F745" s="123"/>
      <c r="G745" s="125"/>
      <c r="H745" s="123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</row>
    <row r="746" spans="1:28" ht="28.5" customHeight="1" x14ac:dyDescent="0.35">
      <c r="A746" s="122"/>
      <c r="B746" s="122"/>
      <c r="C746" s="122"/>
      <c r="D746" s="123"/>
      <c r="E746" s="124"/>
      <c r="F746" s="123"/>
      <c r="G746" s="125"/>
      <c r="H746" s="123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</row>
    <row r="747" spans="1:28" ht="28.5" customHeight="1" x14ac:dyDescent="0.35">
      <c r="A747" s="122"/>
      <c r="B747" s="122"/>
      <c r="C747" s="122"/>
      <c r="D747" s="123"/>
      <c r="E747" s="124"/>
      <c r="F747" s="123"/>
      <c r="G747" s="125"/>
      <c r="H747" s="123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</row>
    <row r="748" spans="1:28" ht="28.5" customHeight="1" x14ac:dyDescent="0.35">
      <c r="A748" s="122"/>
      <c r="B748" s="122"/>
      <c r="C748" s="122"/>
      <c r="D748" s="123"/>
      <c r="E748" s="124"/>
      <c r="F748" s="123"/>
      <c r="G748" s="125"/>
      <c r="H748" s="123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</row>
    <row r="749" spans="1:28" ht="28.5" customHeight="1" x14ac:dyDescent="0.35">
      <c r="A749" s="122"/>
      <c r="B749" s="122"/>
      <c r="C749" s="122"/>
      <c r="D749" s="123"/>
      <c r="E749" s="124"/>
      <c r="F749" s="123"/>
      <c r="G749" s="125"/>
      <c r="H749" s="123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</row>
    <row r="750" spans="1:28" ht="28.5" customHeight="1" x14ac:dyDescent="0.35">
      <c r="A750" s="122"/>
      <c r="B750" s="122"/>
      <c r="C750" s="122"/>
      <c r="D750" s="123"/>
      <c r="E750" s="124"/>
      <c r="F750" s="123"/>
      <c r="G750" s="125"/>
      <c r="H750" s="123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</row>
    <row r="751" spans="1:28" ht="28.5" customHeight="1" x14ac:dyDescent="0.35">
      <c r="A751" s="122"/>
      <c r="B751" s="122"/>
      <c r="C751" s="122"/>
      <c r="D751" s="123"/>
      <c r="E751" s="124"/>
      <c r="F751" s="123"/>
      <c r="G751" s="125"/>
      <c r="H751" s="123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</row>
    <row r="752" spans="1:28" ht="28.5" customHeight="1" x14ac:dyDescent="0.35">
      <c r="A752" s="122"/>
      <c r="B752" s="122"/>
      <c r="C752" s="122"/>
      <c r="D752" s="123"/>
      <c r="E752" s="124"/>
      <c r="F752" s="123"/>
      <c r="G752" s="125"/>
      <c r="H752" s="123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</row>
    <row r="753" spans="1:28" ht="28.5" customHeight="1" x14ac:dyDescent="0.35">
      <c r="A753" s="122"/>
      <c r="B753" s="122"/>
      <c r="C753" s="122"/>
      <c r="D753" s="123"/>
      <c r="E753" s="124"/>
      <c r="F753" s="123"/>
      <c r="G753" s="125"/>
      <c r="H753" s="123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</row>
    <row r="754" spans="1:28" ht="28.5" customHeight="1" x14ac:dyDescent="0.35">
      <c r="A754" s="122"/>
      <c r="B754" s="122"/>
      <c r="C754" s="122"/>
      <c r="D754" s="123"/>
      <c r="E754" s="124"/>
      <c r="F754" s="123"/>
      <c r="G754" s="125"/>
      <c r="H754" s="123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</row>
    <row r="755" spans="1:28" ht="28.5" customHeight="1" x14ac:dyDescent="0.35">
      <c r="A755" s="122"/>
      <c r="B755" s="122"/>
      <c r="C755" s="122"/>
      <c r="D755" s="123"/>
      <c r="E755" s="124"/>
      <c r="F755" s="123"/>
      <c r="G755" s="125"/>
      <c r="H755" s="123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</row>
    <row r="756" spans="1:28" ht="28.5" customHeight="1" x14ac:dyDescent="0.35">
      <c r="A756" s="122"/>
      <c r="B756" s="122"/>
      <c r="C756" s="122"/>
      <c r="D756" s="123"/>
      <c r="E756" s="124"/>
      <c r="F756" s="123"/>
      <c r="G756" s="125"/>
      <c r="H756" s="123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</row>
    <row r="757" spans="1:28" ht="28.5" customHeight="1" x14ac:dyDescent="0.35">
      <c r="A757" s="122"/>
      <c r="B757" s="122"/>
      <c r="C757" s="122"/>
      <c r="D757" s="123"/>
      <c r="E757" s="124"/>
      <c r="F757" s="123"/>
      <c r="G757" s="125"/>
      <c r="H757" s="123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</row>
    <row r="758" spans="1:28" ht="28.5" customHeight="1" x14ac:dyDescent="0.35">
      <c r="A758" s="122"/>
      <c r="B758" s="122"/>
      <c r="C758" s="122"/>
      <c r="D758" s="123"/>
      <c r="E758" s="124"/>
      <c r="F758" s="123"/>
      <c r="G758" s="125"/>
      <c r="H758" s="123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</row>
    <row r="759" spans="1:28" ht="28.5" customHeight="1" x14ac:dyDescent="0.35">
      <c r="A759" s="122"/>
      <c r="B759" s="122"/>
      <c r="C759" s="122"/>
      <c r="D759" s="123"/>
      <c r="E759" s="124"/>
      <c r="F759" s="123"/>
      <c r="G759" s="125"/>
      <c r="H759" s="123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</row>
    <row r="760" spans="1:28" ht="28.5" customHeight="1" x14ac:dyDescent="0.35">
      <c r="A760" s="122"/>
      <c r="B760" s="122"/>
      <c r="C760" s="122"/>
      <c r="D760" s="123"/>
      <c r="E760" s="124"/>
      <c r="F760" s="123"/>
      <c r="G760" s="125"/>
      <c r="H760" s="123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</row>
    <row r="761" spans="1:28" ht="28.5" customHeight="1" x14ac:dyDescent="0.35">
      <c r="A761" s="122"/>
      <c r="B761" s="122"/>
      <c r="C761" s="122"/>
      <c r="D761" s="123"/>
      <c r="E761" s="124"/>
      <c r="F761" s="123"/>
      <c r="G761" s="125"/>
      <c r="H761" s="123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</row>
    <row r="762" spans="1:28" ht="28.5" customHeight="1" x14ac:dyDescent="0.35">
      <c r="A762" s="122"/>
      <c r="B762" s="122"/>
      <c r="C762" s="122"/>
      <c r="D762" s="123"/>
      <c r="E762" s="124"/>
      <c r="F762" s="123"/>
      <c r="G762" s="125"/>
      <c r="H762" s="123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</row>
    <row r="763" spans="1:28" ht="28.5" customHeight="1" x14ac:dyDescent="0.35">
      <c r="A763" s="122"/>
      <c r="B763" s="122"/>
      <c r="C763" s="122"/>
      <c r="D763" s="123"/>
      <c r="E763" s="124"/>
      <c r="F763" s="123"/>
      <c r="G763" s="125"/>
      <c r="H763" s="123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</row>
    <row r="764" spans="1:28" ht="28.5" customHeight="1" x14ac:dyDescent="0.35">
      <c r="A764" s="122"/>
      <c r="B764" s="122"/>
      <c r="C764" s="122"/>
      <c r="D764" s="123"/>
      <c r="E764" s="124"/>
      <c r="F764" s="123"/>
      <c r="G764" s="125"/>
      <c r="H764" s="123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</row>
    <row r="765" spans="1:28" ht="28.5" customHeight="1" x14ac:dyDescent="0.35">
      <c r="A765" s="122"/>
      <c r="B765" s="122"/>
      <c r="C765" s="122"/>
      <c r="D765" s="123"/>
      <c r="E765" s="124"/>
      <c r="F765" s="123"/>
      <c r="G765" s="125"/>
      <c r="H765" s="123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</row>
    <row r="766" spans="1:28" ht="28.5" customHeight="1" x14ac:dyDescent="0.35">
      <c r="A766" s="122"/>
      <c r="B766" s="122"/>
      <c r="C766" s="122"/>
      <c r="D766" s="123"/>
      <c r="E766" s="124"/>
      <c r="F766" s="123"/>
      <c r="G766" s="125"/>
      <c r="H766" s="123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</row>
    <row r="767" spans="1:28" ht="28.5" customHeight="1" x14ac:dyDescent="0.35">
      <c r="A767" s="122"/>
      <c r="B767" s="122"/>
      <c r="C767" s="122"/>
      <c r="D767" s="123"/>
      <c r="E767" s="124"/>
      <c r="F767" s="123"/>
      <c r="G767" s="125"/>
      <c r="H767" s="123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</row>
    <row r="768" spans="1:28" ht="28.5" customHeight="1" x14ac:dyDescent="0.35">
      <c r="A768" s="122"/>
      <c r="B768" s="122"/>
      <c r="C768" s="122"/>
      <c r="D768" s="123"/>
      <c r="E768" s="124"/>
      <c r="F768" s="123"/>
      <c r="G768" s="125"/>
      <c r="H768" s="123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</row>
    <row r="769" spans="1:28" ht="28.5" customHeight="1" x14ac:dyDescent="0.35">
      <c r="A769" s="122"/>
      <c r="B769" s="122"/>
      <c r="C769" s="122"/>
      <c r="D769" s="123"/>
      <c r="E769" s="124"/>
      <c r="F769" s="123"/>
      <c r="G769" s="125"/>
      <c r="H769" s="123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</row>
    <row r="770" spans="1:28" ht="28.5" customHeight="1" x14ac:dyDescent="0.35">
      <c r="A770" s="122"/>
      <c r="B770" s="122"/>
      <c r="C770" s="122"/>
      <c r="D770" s="123"/>
      <c r="E770" s="124"/>
      <c r="F770" s="123"/>
      <c r="G770" s="125"/>
      <c r="H770" s="123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</row>
    <row r="771" spans="1:28" ht="28.5" customHeight="1" x14ac:dyDescent="0.35">
      <c r="A771" s="122"/>
      <c r="B771" s="122"/>
      <c r="C771" s="122"/>
      <c r="D771" s="123"/>
      <c r="E771" s="124"/>
      <c r="F771" s="123"/>
      <c r="G771" s="125"/>
      <c r="H771" s="123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</row>
    <row r="772" spans="1:28" ht="28.5" customHeight="1" x14ac:dyDescent="0.35">
      <c r="A772" s="122"/>
      <c r="B772" s="122"/>
      <c r="C772" s="122"/>
      <c r="D772" s="123"/>
      <c r="E772" s="124"/>
      <c r="F772" s="123"/>
      <c r="G772" s="125"/>
      <c r="H772" s="123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</row>
    <row r="773" spans="1:28" ht="28.5" customHeight="1" x14ac:dyDescent="0.35">
      <c r="A773" s="122"/>
      <c r="B773" s="122"/>
      <c r="C773" s="122"/>
      <c r="D773" s="123"/>
      <c r="E773" s="124"/>
      <c r="F773" s="123"/>
      <c r="G773" s="125"/>
      <c r="H773" s="123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</row>
    <row r="774" spans="1:28" ht="28.5" customHeight="1" x14ac:dyDescent="0.35">
      <c r="A774" s="122"/>
      <c r="B774" s="122"/>
      <c r="C774" s="122"/>
      <c r="D774" s="123"/>
      <c r="E774" s="124"/>
      <c r="F774" s="123"/>
      <c r="G774" s="125"/>
      <c r="H774" s="123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</row>
    <row r="775" spans="1:28" ht="28.5" customHeight="1" x14ac:dyDescent="0.35">
      <c r="A775" s="122"/>
      <c r="B775" s="122"/>
      <c r="C775" s="122"/>
      <c r="D775" s="123"/>
      <c r="E775" s="124"/>
      <c r="F775" s="123"/>
      <c r="G775" s="125"/>
      <c r="H775" s="123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</row>
    <row r="776" spans="1:28" ht="28.5" customHeight="1" x14ac:dyDescent="0.35">
      <c r="A776" s="122"/>
      <c r="B776" s="122"/>
      <c r="C776" s="122"/>
      <c r="D776" s="123"/>
      <c r="E776" s="124"/>
      <c r="F776" s="123"/>
      <c r="G776" s="125"/>
      <c r="H776" s="123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</row>
    <row r="777" spans="1:28" ht="28.5" customHeight="1" x14ac:dyDescent="0.35">
      <c r="A777" s="122"/>
      <c r="B777" s="122"/>
      <c r="C777" s="122"/>
      <c r="D777" s="123"/>
      <c r="E777" s="124"/>
      <c r="F777" s="123"/>
      <c r="G777" s="125"/>
      <c r="H777" s="123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</row>
    <row r="778" spans="1:28" ht="28.5" customHeight="1" x14ac:dyDescent="0.35">
      <c r="A778" s="122"/>
      <c r="B778" s="122"/>
      <c r="C778" s="122"/>
      <c r="D778" s="123"/>
      <c r="E778" s="124"/>
      <c r="F778" s="123"/>
      <c r="G778" s="125"/>
      <c r="H778" s="123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</row>
    <row r="779" spans="1:28" ht="28.5" customHeight="1" x14ac:dyDescent="0.35">
      <c r="A779" s="122"/>
      <c r="B779" s="122"/>
      <c r="C779" s="122"/>
      <c r="D779" s="123"/>
      <c r="E779" s="124"/>
      <c r="F779" s="123"/>
      <c r="G779" s="125"/>
      <c r="H779" s="123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</row>
    <row r="780" spans="1:28" ht="28.5" customHeight="1" x14ac:dyDescent="0.35">
      <c r="A780" s="122"/>
      <c r="B780" s="122"/>
      <c r="C780" s="122"/>
      <c r="D780" s="123"/>
      <c r="E780" s="124"/>
      <c r="F780" s="123"/>
      <c r="G780" s="125"/>
      <c r="H780" s="123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</row>
    <row r="781" spans="1:28" ht="28.5" customHeight="1" x14ac:dyDescent="0.35">
      <c r="A781" s="122"/>
      <c r="B781" s="122"/>
      <c r="C781" s="122"/>
      <c r="D781" s="123"/>
      <c r="E781" s="124"/>
      <c r="F781" s="123"/>
      <c r="G781" s="125"/>
      <c r="H781" s="123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</row>
    <row r="782" spans="1:28" ht="28.5" customHeight="1" x14ac:dyDescent="0.35">
      <c r="A782" s="122"/>
      <c r="B782" s="122"/>
      <c r="C782" s="122"/>
      <c r="D782" s="123"/>
      <c r="E782" s="124"/>
      <c r="F782" s="123"/>
      <c r="G782" s="125"/>
      <c r="H782" s="123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</row>
    <row r="783" spans="1:28" ht="28.5" customHeight="1" x14ac:dyDescent="0.35">
      <c r="A783" s="122"/>
      <c r="B783" s="122"/>
      <c r="C783" s="122"/>
      <c r="D783" s="123"/>
      <c r="E783" s="124"/>
      <c r="F783" s="123"/>
      <c r="G783" s="125"/>
      <c r="H783" s="123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</row>
    <row r="784" spans="1:28" ht="28.5" customHeight="1" x14ac:dyDescent="0.35">
      <c r="A784" s="122"/>
      <c r="B784" s="122"/>
      <c r="C784" s="122"/>
      <c r="D784" s="123"/>
      <c r="E784" s="124"/>
      <c r="F784" s="123"/>
      <c r="G784" s="125"/>
      <c r="H784" s="123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</row>
    <row r="785" spans="1:28" ht="28.5" customHeight="1" x14ac:dyDescent="0.35">
      <c r="A785" s="122"/>
      <c r="B785" s="122"/>
      <c r="C785" s="122"/>
      <c r="D785" s="123"/>
      <c r="E785" s="124"/>
      <c r="F785" s="123"/>
      <c r="G785" s="125"/>
      <c r="H785" s="123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</row>
    <row r="786" spans="1:28" ht="28.5" customHeight="1" x14ac:dyDescent="0.35">
      <c r="A786" s="122"/>
      <c r="B786" s="122"/>
      <c r="C786" s="122"/>
      <c r="D786" s="123"/>
      <c r="E786" s="124"/>
      <c r="F786" s="123"/>
      <c r="G786" s="125"/>
      <c r="H786" s="123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</row>
    <row r="787" spans="1:28" ht="28.5" customHeight="1" x14ac:dyDescent="0.35">
      <c r="A787" s="122"/>
      <c r="B787" s="122"/>
      <c r="C787" s="122"/>
      <c r="D787" s="123"/>
      <c r="E787" s="124"/>
      <c r="F787" s="123"/>
      <c r="G787" s="125"/>
      <c r="H787" s="123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</row>
    <row r="788" spans="1:28" ht="28.5" customHeight="1" x14ac:dyDescent="0.35">
      <c r="A788" s="122"/>
      <c r="B788" s="122"/>
      <c r="C788" s="122"/>
      <c r="D788" s="123"/>
      <c r="E788" s="124"/>
      <c r="F788" s="123"/>
      <c r="G788" s="125"/>
      <c r="H788" s="123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</row>
    <row r="789" spans="1:28" ht="28.5" customHeight="1" x14ac:dyDescent="0.35">
      <c r="A789" s="122"/>
      <c r="B789" s="122"/>
      <c r="C789" s="122"/>
      <c r="D789" s="123"/>
      <c r="E789" s="124"/>
      <c r="F789" s="123"/>
      <c r="G789" s="125"/>
      <c r="H789" s="123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</row>
    <row r="790" spans="1:28" ht="28.5" customHeight="1" x14ac:dyDescent="0.35">
      <c r="A790" s="122"/>
      <c r="B790" s="122"/>
      <c r="C790" s="122"/>
      <c r="D790" s="123"/>
      <c r="E790" s="124"/>
      <c r="F790" s="123"/>
      <c r="G790" s="125"/>
      <c r="H790" s="123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</row>
    <row r="791" spans="1:28" ht="28.5" customHeight="1" x14ac:dyDescent="0.35">
      <c r="A791" s="122"/>
      <c r="B791" s="122"/>
      <c r="C791" s="122"/>
      <c r="D791" s="123"/>
      <c r="E791" s="124"/>
      <c r="F791" s="123"/>
      <c r="G791" s="125"/>
      <c r="H791" s="123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</row>
    <row r="792" spans="1:28" ht="28.5" customHeight="1" x14ac:dyDescent="0.35">
      <c r="A792" s="122"/>
      <c r="B792" s="122"/>
      <c r="C792" s="122"/>
      <c r="D792" s="123"/>
      <c r="E792" s="124"/>
      <c r="F792" s="123"/>
      <c r="G792" s="125"/>
      <c r="H792" s="123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</row>
    <row r="793" spans="1:28" ht="28.5" customHeight="1" x14ac:dyDescent="0.35">
      <c r="A793" s="122"/>
      <c r="B793" s="122"/>
      <c r="C793" s="122"/>
      <c r="D793" s="123"/>
      <c r="E793" s="124"/>
      <c r="F793" s="123"/>
      <c r="G793" s="125"/>
      <c r="H793" s="123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</row>
    <row r="794" spans="1:28" ht="28.5" customHeight="1" x14ac:dyDescent="0.35">
      <c r="A794" s="122"/>
      <c r="B794" s="122"/>
      <c r="C794" s="122"/>
      <c r="D794" s="123"/>
      <c r="E794" s="124"/>
      <c r="F794" s="123"/>
      <c r="G794" s="125"/>
      <c r="H794" s="123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</row>
    <row r="795" spans="1:28" ht="28.5" customHeight="1" x14ac:dyDescent="0.35">
      <c r="A795" s="122"/>
      <c r="B795" s="122"/>
      <c r="C795" s="122"/>
      <c r="D795" s="123"/>
      <c r="E795" s="124"/>
      <c r="F795" s="123"/>
      <c r="G795" s="125"/>
      <c r="H795" s="123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</row>
    <row r="796" spans="1:28" ht="28.5" customHeight="1" x14ac:dyDescent="0.35">
      <c r="A796" s="122"/>
      <c r="B796" s="122"/>
      <c r="C796" s="122"/>
      <c r="D796" s="123"/>
      <c r="E796" s="124"/>
      <c r="F796" s="123"/>
      <c r="G796" s="125"/>
      <c r="H796" s="123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</row>
    <row r="797" spans="1:28" ht="28.5" customHeight="1" x14ac:dyDescent="0.35">
      <c r="A797" s="122"/>
      <c r="B797" s="122"/>
      <c r="C797" s="122"/>
      <c r="D797" s="123"/>
      <c r="E797" s="124"/>
      <c r="F797" s="123"/>
      <c r="G797" s="125"/>
      <c r="H797" s="123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</row>
    <row r="798" spans="1:28" ht="28.5" customHeight="1" x14ac:dyDescent="0.35">
      <c r="A798" s="122"/>
      <c r="B798" s="122"/>
      <c r="C798" s="122"/>
      <c r="D798" s="123"/>
      <c r="E798" s="124"/>
      <c r="F798" s="123"/>
      <c r="G798" s="125"/>
      <c r="H798" s="123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</row>
    <row r="799" spans="1:28" ht="28.5" customHeight="1" x14ac:dyDescent="0.35">
      <c r="A799" s="122"/>
      <c r="B799" s="122"/>
      <c r="C799" s="122"/>
      <c r="D799" s="123"/>
      <c r="E799" s="124"/>
      <c r="F799" s="123"/>
      <c r="G799" s="125"/>
      <c r="H799" s="123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</row>
    <row r="800" spans="1:28" ht="28.5" customHeight="1" x14ac:dyDescent="0.35">
      <c r="A800" s="122"/>
      <c r="B800" s="122"/>
      <c r="C800" s="122"/>
      <c r="D800" s="123"/>
      <c r="E800" s="124"/>
      <c r="F800" s="123"/>
      <c r="G800" s="125"/>
      <c r="H800" s="123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</row>
    <row r="801" spans="1:28" ht="28.5" customHeight="1" x14ac:dyDescent="0.35">
      <c r="A801" s="122"/>
      <c r="B801" s="122"/>
      <c r="C801" s="122"/>
      <c r="D801" s="123"/>
      <c r="E801" s="124"/>
      <c r="F801" s="123"/>
      <c r="G801" s="125"/>
      <c r="H801" s="123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</row>
    <row r="802" spans="1:28" ht="28.5" customHeight="1" x14ac:dyDescent="0.35">
      <c r="A802" s="122"/>
      <c r="B802" s="122"/>
      <c r="C802" s="122"/>
      <c r="D802" s="123"/>
      <c r="E802" s="124"/>
      <c r="F802" s="123"/>
      <c r="G802" s="125"/>
      <c r="H802" s="123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</row>
    <row r="803" spans="1:28" ht="28.5" customHeight="1" x14ac:dyDescent="0.35">
      <c r="A803" s="122"/>
      <c r="B803" s="122"/>
      <c r="C803" s="122"/>
      <c r="D803" s="123"/>
      <c r="E803" s="124"/>
      <c r="F803" s="123"/>
      <c r="G803" s="125"/>
      <c r="H803" s="123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</row>
    <row r="804" spans="1:28" ht="28.5" customHeight="1" x14ac:dyDescent="0.35">
      <c r="A804" s="122"/>
      <c r="B804" s="122"/>
      <c r="C804" s="122"/>
      <c r="D804" s="123"/>
      <c r="E804" s="124"/>
      <c r="F804" s="123"/>
      <c r="G804" s="125"/>
      <c r="H804" s="123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</row>
    <row r="805" spans="1:28" ht="28.5" customHeight="1" x14ac:dyDescent="0.35">
      <c r="A805" s="122"/>
      <c r="B805" s="122"/>
      <c r="C805" s="122"/>
      <c r="D805" s="123"/>
      <c r="E805" s="124"/>
      <c r="F805" s="123"/>
      <c r="G805" s="125"/>
      <c r="H805" s="123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</row>
    <row r="806" spans="1:28" ht="28.5" customHeight="1" x14ac:dyDescent="0.35">
      <c r="A806" s="122"/>
      <c r="B806" s="122"/>
      <c r="C806" s="122"/>
      <c r="D806" s="123"/>
      <c r="E806" s="124"/>
      <c r="F806" s="123"/>
      <c r="G806" s="125"/>
      <c r="H806" s="123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</row>
    <row r="807" spans="1:28" ht="28.5" customHeight="1" x14ac:dyDescent="0.35">
      <c r="A807" s="122"/>
      <c r="B807" s="122"/>
      <c r="C807" s="122"/>
      <c r="D807" s="123"/>
      <c r="E807" s="124"/>
      <c r="F807" s="123"/>
      <c r="G807" s="125"/>
      <c r="H807" s="123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</row>
    <row r="808" spans="1:28" ht="28.5" customHeight="1" x14ac:dyDescent="0.35">
      <c r="A808" s="122"/>
      <c r="B808" s="122"/>
      <c r="C808" s="122"/>
      <c r="D808" s="123"/>
      <c r="E808" s="124"/>
      <c r="F808" s="123"/>
      <c r="G808" s="125"/>
      <c r="H808" s="123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</row>
    <row r="809" spans="1:28" ht="28.5" customHeight="1" x14ac:dyDescent="0.35">
      <c r="A809" s="122"/>
      <c r="B809" s="122"/>
      <c r="C809" s="122"/>
      <c r="D809" s="123"/>
      <c r="E809" s="124"/>
      <c r="F809" s="123"/>
      <c r="G809" s="125"/>
      <c r="H809" s="123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</row>
    <row r="810" spans="1:28" ht="28.5" customHeight="1" x14ac:dyDescent="0.35">
      <c r="A810" s="122"/>
      <c r="B810" s="122"/>
      <c r="C810" s="122"/>
      <c r="D810" s="123"/>
      <c r="E810" s="124"/>
      <c r="F810" s="123"/>
      <c r="G810" s="125"/>
      <c r="H810" s="123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</row>
    <row r="811" spans="1:28" ht="28.5" customHeight="1" x14ac:dyDescent="0.35">
      <c r="A811" s="122"/>
      <c r="B811" s="122"/>
      <c r="C811" s="122"/>
      <c r="D811" s="123"/>
      <c r="E811" s="124"/>
      <c r="F811" s="123"/>
      <c r="G811" s="125"/>
      <c r="H811" s="123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</row>
    <row r="812" spans="1:28" ht="28.5" customHeight="1" x14ac:dyDescent="0.35">
      <c r="A812" s="122"/>
      <c r="B812" s="122"/>
      <c r="C812" s="122"/>
      <c r="D812" s="123"/>
      <c r="E812" s="124"/>
      <c r="F812" s="123"/>
      <c r="G812" s="125"/>
      <c r="H812" s="123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</row>
    <row r="813" spans="1:28" ht="28.5" customHeight="1" x14ac:dyDescent="0.35">
      <c r="A813" s="122"/>
      <c r="B813" s="122"/>
      <c r="C813" s="122"/>
      <c r="D813" s="123"/>
      <c r="E813" s="124"/>
      <c r="F813" s="123"/>
      <c r="G813" s="125"/>
      <c r="H813" s="123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</row>
    <row r="814" spans="1:28" ht="28.5" customHeight="1" x14ac:dyDescent="0.35">
      <c r="A814" s="122"/>
      <c r="B814" s="122"/>
      <c r="C814" s="122"/>
      <c r="D814" s="123"/>
      <c r="E814" s="124"/>
      <c r="F814" s="123"/>
      <c r="G814" s="125"/>
      <c r="H814" s="123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</row>
    <row r="815" spans="1:28" ht="28.5" customHeight="1" x14ac:dyDescent="0.35">
      <c r="A815" s="122"/>
      <c r="B815" s="122"/>
      <c r="C815" s="122"/>
      <c r="D815" s="123"/>
      <c r="E815" s="124"/>
      <c r="F815" s="123"/>
      <c r="G815" s="125"/>
      <c r="H815" s="123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</row>
    <row r="816" spans="1:28" ht="28.5" customHeight="1" x14ac:dyDescent="0.35">
      <c r="A816" s="122"/>
      <c r="B816" s="122"/>
      <c r="C816" s="122"/>
      <c r="D816" s="123"/>
      <c r="E816" s="124"/>
      <c r="F816" s="123"/>
      <c r="G816" s="125"/>
      <c r="H816" s="123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</row>
    <row r="817" spans="1:28" ht="28.5" customHeight="1" x14ac:dyDescent="0.35">
      <c r="A817" s="122"/>
      <c r="B817" s="122"/>
      <c r="C817" s="122"/>
      <c r="D817" s="123"/>
      <c r="E817" s="124"/>
      <c r="F817" s="123"/>
      <c r="G817" s="125"/>
      <c r="H817" s="123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</row>
    <row r="818" spans="1:28" ht="28.5" customHeight="1" x14ac:dyDescent="0.35">
      <c r="A818" s="122"/>
      <c r="B818" s="122"/>
      <c r="C818" s="122"/>
      <c r="D818" s="123"/>
      <c r="E818" s="124"/>
      <c r="F818" s="123"/>
      <c r="G818" s="125"/>
      <c r="H818" s="123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</row>
    <row r="819" spans="1:28" ht="28.5" customHeight="1" x14ac:dyDescent="0.35">
      <c r="A819" s="122"/>
      <c r="B819" s="122"/>
      <c r="C819" s="122"/>
      <c r="D819" s="123"/>
      <c r="E819" s="124"/>
      <c r="F819" s="123"/>
      <c r="G819" s="125"/>
      <c r="H819" s="123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</row>
    <row r="820" spans="1:28" ht="28.5" customHeight="1" x14ac:dyDescent="0.35">
      <c r="A820" s="122"/>
      <c r="B820" s="122"/>
      <c r="C820" s="122"/>
      <c r="D820" s="123"/>
      <c r="E820" s="124"/>
      <c r="F820" s="123"/>
      <c r="G820" s="125"/>
      <c r="H820" s="123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</row>
    <row r="821" spans="1:28" ht="28.5" customHeight="1" x14ac:dyDescent="0.35">
      <c r="A821" s="122"/>
      <c r="B821" s="122"/>
      <c r="C821" s="122"/>
      <c r="D821" s="123"/>
      <c r="E821" s="124"/>
      <c r="F821" s="123"/>
      <c r="G821" s="125"/>
      <c r="H821" s="123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</row>
    <row r="822" spans="1:28" ht="28.5" customHeight="1" x14ac:dyDescent="0.35">
      <c r="A822" s="122"/>
      <c r="B822" s="122"/>
      <c r="C822" s="122"/>
      <c r="D822" s="123"/>
      <c r="E822" s="124"/>
      <c r="F822" s="123"/>
      <c r="G822" s="125"/>
      <c r="H822" s="123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</row>
    <row r="823" spans="1:28" ht="28.5" customHeight="1" x14ac:dyDescent="0.35">
      <c r="A823" s="122"/>
      <c r="B823" s="122"/>
      <c r="C823" s="122"/>
      <c r="D823" s="123"/>
      <c r="E823" s="124"/>
      <c r="F823" s="123"/>
      <c r="G823" s="125"/>
      <c r="H823" s="123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</row>
    <row r="824" spans="1:28" ht="28.5" customHeight="1" x14ac:dyDescent="0.35">
      <c r="A824" s="122"/>
      <c r="B824" s="122"/>
      <c r="C824" s="122"/>
      <c r="D824" s="123"/>
      <c r="E824" s="124"/>
      <c r="F824" s="123"/>
      <c r="G824" s="125"/>
      <c r="H824" s="123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</row>
    <row r="825" spans="1:28" ht="28.5" customHeight="1" x14ac:dyDescent="0.35">
      <c r="A825" s="122"/>
      <c r="B825" s="122"/>
      <c r="C825" s="122"/>
      <c r="D825" s="123"/>
      <c r="E825" s="124"/>
      <c r="F825" s="123"/>
      <c r="G825" s="125"/>
      <c r="H825" s="123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</row>
    <row r="826" spans="1:28" ht="28.5" customHeight="1" x14ac:dyDescent="0.35">
      <c r="A826" s="122"/>
      <c r="B826" s="122"/>
      <c r="C826" s="122"/>
      <c r="D826" s="123"/>
      <c r="E826" s="124"/>
      <c r="F826" s="123"/>
      <c r="G826" s="125"/>
      <c r="H826" s="123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</row>
    <row r="827" spans="1:28" ht="28.5" customHeight="1" x14ac:dyDescent="0.35">
      <c r="A827" s="122"/>
      <c r="B827" s="122"/>
      <c r="C827" s="122"/>
      <c r="D827" s="123"/>
      <c r="E827" s="124"/>
      <c r="F827" s="123"/>
      <c r="G827" s="125"/>
      <c r="H827" s="123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</row>
    <row r="828" spans="1:28" ht="28.5" customHeight="1" x14ac:dyDescent="0.35">
      <c r="A828" s="122"/>
      <c r="B828" s="122"/>
      <c r="C828" s="122"/>
      <c r="D828" s="123"/>
      <c r="E828" s="124"/>
      <c r="F828" s="123"/>
      <c r="G828" s="125"/>
      <c r="H828" s="123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</row>
    <row r="829" spans="1:28" ht="28.5" customHeight="1" x14ac:dyDescent="0.35">
      <c r="A829" s="122"/>
      <c r="B829" s="122"/>
      <c r="C829" s="122"/>
      <c r="D829" s="123"/>
      <c r="E829" s="124"/>
      <c r="F829" s="123"/>
      <c r="G829" s="125"/>
      <c r="H829" s="123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</row>
    <row r="830" spans="1:28" ht="28.5" customHeight="1" x14ac:dyDescent="0.35">
      <c r="A830" s="122"/>
      <c r="B830" s="122"/>
      <c r="C830" s="122"/>
      <c r="D830" s="123"/>
      <c r="E830" s="124"/>
      <c r="F830" s="123"/>
      <c r="G830" s="125"/>
      <c r="H830" s="123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</row>
    <row r="831" spans="1:28" ht="28.5" customHeight="1" x14ac:dyDescent="0.35">
      <c r="A831" s="122"/>
      <c r="B831" s="122"/>
      <c r="C831" s="122"/>
      <c r="D831" s="123"/>
      <c r="E831" s="124"/>
      <c r="F831" s="123"/>
      <c r="G831" s="125"/>
      <c r="H831" s="123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</row>
    <row r="832" spans="1:28" ht="28.5" customHeight="1" x14ac:dyDescent="0.35">
      <c r="A832" s="122"/>
      <c r="B832" s="122"/>
      <c r="C832" s="122"/>
      <c r="D832" s="123"/>
      <c r="E832" s="124"/>
      <c r="F832" s="123"/>
      <c r="G832" s="125"/>
      <c r="H832" s="123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</row>
    <row r="833" spans="1:28" ht="28.5" customHeight="1" x14ac:dyDescent="0.35">
      <c r="A833" s="122"/>
      <c r="B833" s="122"/>
      <c r="C833" s="122"/>
      <c r="D833" s="123"/>
      <c r="E833" s="124"/>
      <c r="F833" s="123"/>
      <c r="G833" s="125"/>
      <c r="H833" s="123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</row>
    <row r="834" spans="1:28" ht="28.5" customHeight="1" x14ac:dyDescent="0.35">
      <c r="A834" s="122"/>
      <c r="B834" s="122"/>
      <c r="C834" s="122"/>
      <c r="D834" s="123"/>
      <c r="E834" s="124"/>
      <c r="F834" s="123"/>
      <c r="G834" s="125"/>
      <c r="H834" s="123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</row>
    <row r="835" spans="1:28" ht="28.5" customHeight="1" x14ac:dyDescent="0.35">
      <c r="A835" s="122"/>
      <c r="B835" s="122"/>
      <c r="C835" s="122"/>
      <c r="D835" s="123"/>
      <c r="E835" s="124"/>
      <c r="F835" s="123"/>
      <c r="G835" s="125"/>
      <c r="H835" s="123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</row>
    <row r="836" spans="1:28" ht="28.5" customHeight="1" x14ac:dyDescent="0.35">
      <c r="A836" s="122"/>
      <c r="B836" s="122"/>
      <c r="C836" s="122"/>
      <c r="D836" s="123"/>
      <c r="E836" s="124"/>
      <c r="F836" s="123"/>
      <c r="G836" s="125"/>
      <c r="H836" s="123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</row>
    <row r="837" spans="1:28" ht="28.5" customHeight="1" x14ac:dyDescent="0.35">
      <c r="A837" s="122"/>
      <c r="B837" s="122"/>
      <c r="C837" s="122"/>
      <c r="D837" s="123"/>
      <c r="E837" s="124"/>
      <c r="F837" s="123"/>
      <c r="G837" s="125"/>
      <c r="H837" s="123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</row>
    <row r="838" spans="1:28" ht="28.5" customHeight="1" x14ac:dyDescent="0.35">
      <c r="A838" s="122"/>
      <c r="B838" s="122"/>
      <c r="C838" s="122"/>
      <c r="D838" s="123"/>
      <c r="E838" s="124"/>
      <c r="F838" s="123"/>
      <c r="G838" s="125"/>
      <c r="H838" s="123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</row>
    <row r="839" spans="1:28" ht="28.5" customHeight="1" x14ac:dyDescent="0.35">
      <c r="A839" s="122"/>
      <c r="B839" s="122"/>
      <c r="C839" s="122"/>
      <c r="D839" s="123"/>
      <c r="E839" s="124"/>
      <c r="F839" s="123"/>
      <c r="G839" s="125"/>
      <c r="H839" s="123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</row>
    <row r="840" spans="1:28" ht="28.5" customHeight="1" x14ac:dyDescent="0.35">
      <c r="A840" s="122"/>
      <c r="B840" s="122"/>
      <c r="C840" s="122"/>
      <c r="D840" s="123"/>
      <c r="E840" s="124"/>
      <c r="F840" s="123"/>
      <c r="G840" s="125"/>
      <c r="H840" s="123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</row>
    <row r="841" spans="1:28" ht="28.5" customHeight="1" x14ac:dyDescent="0.35">
      <c r="A841" s="122"/>
      <c r="B841" s="122"/>
      <c r="C841" s="122"/>
      <c r="D841" s="123"/>
      <c r="E841" s="124"/>
      <c r="F841" s="123"/>
      <c r="G841" s="125"/>
      <c r="H841" s="123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</row>
    <row r="842" spans="1:28" ht="28.5" customHeight="1" x14ac:dyDescent="0.35">
      <c r="A842" s="122"/>
      <c r="B842" s="122"/>
      <c r="C842" s="122"/>
      <c r="D842" s="123"/>
      <c r="E842" s="124"/>
      <c r="F842" s="123"/>
      <c r="G842" s="125"/>
      <c r="H842" s="123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</row>
    <row r="843" spans="1:28" ht="28.5" customHeight="1" x14ac:dyDescent="0.35">
      <c r="A843" s="122"/>
      <c r="B843" s="122"/>
      <c r="C843" s="122"/>
      <c r="D843" s="123"/>
      <c r="E843" s="124"/>
      <c r="F843" s="123"/>
      <c r="G843" s="125"/>
      <c r="H843" s="123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</row>
    <row r="844" spans="1:28" ht="28.5" customHeight="1" x14ac:dyDescent="0.35">
      <c r="A844" s="122"/>
      <c r="B844" s="122"/>
      <c r="C844" s="122"/>
      <c r="D844" s="123"/>
      <c r="E844" s="124"/>
      <c r="F844" s="123"/>
      <c r="G844" s="125"/>
      <c r="H844" s="123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</row>
    <row r="845" spans="1:28" ht="28.5" customHeight="1" x14ac:dyDescent="0.35">
      <c r="A845" s="122"/>
      <c r="B845" s="122"/>
      <c r="C845" s="122"/>
      <c r="D845" s="123"/>
      <c r="E845" s="124"/>
      <c r="F845" s="123"/>
      <c r="G845" s="125"/>
      <c r="H845" s="123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</row>
    <row r="846" spans="1:28" ht="28.5" customHeight="1" x14ac:dyDescent="0.35">
      <c r="A846" s="122"/>
      <c r="B846" s="122"/>
      <c r="C846" s="122"/>
      <c r="D846" s="123"/>
      <c r="E846" s="124"/>
      <c r="F846" s="123"/>
      <c r="G846" s="125"/>
      <c r="H846" s="123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</row>
    <row r="847" spans="1:28" ht="28.5" customHeight="1" x14ac:dyDescent="0.35">
      <c r="A847" s="122"/>
      <c r="B847" s="122"/>
      <c r="C847" s="122"/>
      <c r="D847" s="123"/>
      <c r="E847" s="124"/>
      <c r="F847" s="123"/>
      <c r="G847" s="125"/>
      <c r="H847" s="123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</row>
    <row r="848" spans="1:28" ht="28.5" customHeight="1" x14ac:dyDescent="0.35">
      <c r="A848" s="122"/>
      <c r="B848" s="122"/>
      <c r="C848" s="122"/>
      <c r="D848" s="123"/>
      <c r="E848" s="124"/>
      <c r="F848" s="123"/>
      <c r="G848" s="125"/>
      <c r="H848" s="123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</row>
    <row r="849" spans="1:28" ht="28.5" customHeight="1" x14ac:dyDescent="0.35">
      <c r="A849" s="122"/>
      <c r="B849" s="122"/>
      <c r="C849" s="122"/>
      <c r="D849" s="123"/>
      <c r="E849" s="124"/>
      <c r="F849" s="123"/>
      <c r="G849" s="125"/>
      <c r="H849" s="123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</row>
    <row r="850" spans="1:28" ht="28.5" customHeight="1" x14ac:dyDescent="0.35">
      <c r="A850" s="122"/>
      <c r="B850" s="122"/>
      <c r="C850" s="122"/>
      <c r="D850" s="123"/>
      <c r="E850" s="124"/>
      <c r="F850" s="123"/>
      <c r="G850" s="125"/>
      <c r="H850" s="123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</row>
    <row r="851" spans="1:28" ht="28.5" customHeight="1" x14ac:dyDescent="0.35">
      <c r="A851" s="122"/>
      <c r="B851" s="122"/>
      <c r="C851" s="122"/>
      <c r="D851" s="123"/>
      <c r="E851" s="124"/>
      <c r="F851" s="123"/>
      <c r="G851" s="125"/>
      <c r="H851" s="123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</row>
    <row r="852" spans="1:28" ht="28.5" customHeight="1" x14ac:dyDescent="0.35">
      <c r="A852" s="122"/>
      <c r="B852" s="122"/>
      <c r="C852" s="122"/>
      <c r="D852" s="123"/>
      <c r="E852" s="124"/>
      <c r="F852" s="123"/>
      <c r="G852" s="125"/>
      <c r="H852" s="123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</row>
    <row r="853" spans="1:28" ht="28.5" customHeight="1" x14ac:dyDescent="0.35">
      <c r="A853" s="122"/>
      <c r="B853" s="122"/>
      <c r="C853" s="122"/>
      <c r="D853" s="123"/>
      <c r="E853" s="124"/>
      <c r="F853" s="123"/>
      <c r="G853" s="125"/>
      <c r="H853" s="123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</row>
    <row r="854" spans="1:28" ht="28.5" customHeight="1" x14ac:dyDescent="0.35">
      <c r="A854" s="122"/>
      <c r="B854" s="122"/>
      <c r="C854" s="122"/>
      <c r="D854" s="123"/>
      <c r="E854" s="124"/>
      <c r="F854" s="123"/>
      <c r="G854" s="125"/>
      <c r="H854" s="123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</row>
    <row r="855" spans="1:28" ht="28.5" customHeight="1" x14ac:dyDescent="0.35">
      <c r="A855" s="122"/>
      <c r="B855" s="122"/>
      <c r="C855" s="122"/>
      <c r="D855" s="123"/>
      <c r="E855" s="124"/>
      <c r="F855" s="123"/>
      <c r="G855" s="125"/>
      <c r="H855" s="123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</row>
    <row r="856" spans="1:28" ht="28.5" customHeight="1" x14ac:dyDescent="0.35">
      <c r="A856" s="122"/>
      <c r="B856" s="122"/>
      <c r="C856" s="122"/>
      <c r="D856" s="123"/>
      <c r="E856" s="124"/>
      <c r="F856" s="123"/>
      <c r="G856" s="125"/>
      <c r="H856" s="123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</row>
    <row r="857" spans="1:28" ht="28.5" customHeight="1" x14ac:dyDescent="0.35">
      <c r="A857" s="122"/>
      <c r="B857" s="122"/>
      <c r="C857" s="122"/>
      <c r="D857" s="123"/>
      <c r="E857" s="124"/>
      <c r="F857" s="123"/>
      <c r="G857" s="125"/>
      <c r="H857" s="123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</row>
    <row r="858" spans="1:28" ht="28.5" customHeight="1" x14ac:dyDescent="0.35">
      <c r="A858" s="122"/>
      <c r="B858" s="122"/>
      <c r="C858" s="122"/>
      <c r="D858" s="123"/>
      <c r="E858" s="124"/>
      <c r="F858" s="123"/>
      <c r="G858" s="125"/>
      <c r="H858" s="123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</row>
    <row r="859" spans="1:28" ht="28.5" customHeight="1" x14ac:dyDescent="0.35">
      <c r="A859" s="122"/>
      <c r="B859" s="122"/>
      <c r="C859" s="122"/>
      <c r="D859" s="123"/>
      <c r="E859" s="124"/>
      <c r="F859" s="123"/>
      <c r="G859" s="125"/>
      <c r="H859" s="123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</row>
    <row r="860" spans="1:28" ht="28.5" customHeight="1" x14ac:dyDescent="0.35">
      <c r="A860" s="122"/>
      <c r="B860" s="122"/>
      <c r="C860" s="122"/>
      <c r="D860" s="123"/>
      <c r="E860" s="124"/>
      <c r="F860" s="123"/>
      <c r="G860" s="125"/>
      <c r="H860" s="123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</row>
    <row r="861" spans="1:28" ht="28.5" customHeight="1" x14ac:dyDescent="0.35">
      <c r="A861" s="122"/>
      <c r="B861" s="122"/>
      <c r="C861" s="122"/>
      <c r="D861" s="123"/>
      <c r="E861" s="124"/>
      <c r="F861" s="123"/>
      <c r="G861" s="125"/>
      <c r="H861" s="123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</row>
    <row r="862" spans="1:28" ht="28.5" customHeight="1" x14ac:dyDescent="0.35">
      <c r="A862" s="122"/>
      <c r="B862" s="122"/>
      <c r="C862" s="122"/>
      <c r="D862" s="123"/>
      <c r="E862" s="124"/>
      <c r="F862" s="123"/>
      <c r="G862" s="125"/>
      <c r="H862" s="123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</row>
    <row r="863" spans="1:28" ht="28.5" customHeight="1" x14ac:dyDescent="0.35">
      <c r="A863" s="122"/>
      <c r="B863" s="122"/>
      <c r="C863" s="122"/>
      <c r="D863" s="123"/>
      <c r="E863" s="124"/>
      <c r="F863" s="123"/>
      <c r="G863" s="125"/>
      <c r="H863" s="123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</row>
    <row r="864" spans="1:28" ht="28.5" customHeight="1" x14ac:dyDescent="0.35">
      <c r="A864" s="122"/>
      <c r="B864" s="122"/>
      <c r="C864" s="122"/>
      <c r="D864" s="123"/>
      <c r="E864" s="124"/>
      <c r="F864" s="123"/>
      <c r="G864" s="125"/>
      <c r="H864" s="123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</row>
    <row r="865" spans="1:28" ht="28.5" customHeight="1" x14ac:dyDescent="0.35">
      <c r="A865" s="122"/>
      <c r="B865" s="122"/>
      <c r="C865" s="122"/>
      <c r="D865" s="123"/>
      <c r="E865" s="124"/>
      <c r="F865" s="123"/>
      <c r="G865" s="125"/>
      <c r="H865" s="123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</row>
    <row r="866" spans="1:28" ht="28.5" customHeight="1" x14ac:dyDescent="0.35">
      <c r="A866" s="122"/>
      <c r="B866" s="122"/>
      <c r="C866" s="122"/>
      <c r="D866" s="123"/>
      <c r="E866" s="124"/>
      <c r="F866" s="123"/>
      <c r="G866" s="125"/>
      <c r="H866" s="123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</row>
    <row r="867" spans="1:28" ht="28.5" customHeight="1" x14ac:dyDescent="0.35">
      <c r="A867" s="122"/>
      <c r="B867" s="122"/>
      <c r="C867" s="122"/>
      <c r="D867" s="123"/>
      <c r="E867" s="124"/>
      <c r="F867" s="123"/>
      <c r="G867" s="125"/>
      <c r="H867" s="123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</row>
    <row r="868" spans="1:28" ht="28.5" customHeight="1" x14ac:dyDescent="0.35">
      <c r="A868" s="122"/>
      <c r="B868" s="122"/>
      <c r="C868" s="122"/>
      <c r="D868" s="123"/>
      <c r="E868" s="124"/>
      <c r="F868" s="123"/>
      <c r="G868" s="125"/>
      <c r="H868" s="123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</row>
    <row r="869" spans="1:28" ht="28.5" customHeight="1" x14ac:dyDescent="0.35">
      <c r="A869" s="122"/>
      <c r="B869" s="122"/>
      <c r="C869" s="122"/>
      <c r="D869" s="123"/>
      <c r="E869" s="124"/>
      <c r="F869" s="123"/>
      <c r="G869" s="125"/>
      <c r="H869" s="123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</row>
    <row r="870" spans="1:28" ht="28.5" customHeight="1" x14ac:dyDescent="0.35">
      <c r="A870" s="122"/>
      <c r="B870" s="122"/>
      <c r="C870" s="122"/>
      <c r="D870" s="123"/>
      <c r="E870" s="124"/>
      <c r="F870" s="123"/>
      <c r="G870" s="125"/>
      <c r="H870" s="123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</row>
    <row r="871" spans="1:28" ht="28.5" customHeight="1" x14ac:dyDescent="0.35">
      <c r="A871" s="122"/>
      <c r="B871" s="122"/>
      <c r="C871" s="122"/>
      <c r="D871" s="123"/>
      <c r="E871" s="124"/>
      <c r="F871" s="123"/>
      <c r="G871" s="125"/>
      <c r="H871" s="123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</row>
    <row r="872" spans="1:28" ht="28.5" customHeight="1" x14ac:dyDescent="0.35">
      <c r="A872" s="122"/>
      <c r="B872" s="122"/>
      <c r="C872" s="122"/>
      <c r="D872" s="123"/>
      <c r="E872" s="124"/>
      <c r="F872" s="123"/>
      <c r="G872" s="125"/>
      <c r="H872" s="123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</row>
    <row r="873" spans="1:28" ht="28.5" customHeight="1" x14ac:dyDescent="0.35">
      <c r="A873" s="122"/>
      <c r="B873" s="122"/>
      <c r="C873" s="122"/>
      <c r="D873" s="123"/>
      <c r="E873" s="124"/>
      <c r="F873" s="123"/>
      <c r="G873" s="125"/>
      <c r="H873" s="123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</row>
    <row r="874" spans="1:28" ht="28.5" customHeight="1" x14ac:dyDescent="0.35">
      <c r="A874" s="122"/>
      <c r="B874" s="122"/>
      <c r="C874" s="122"/>
      <c r="D874" s="123"/>
      <c r="E874" s="124"/>
      <c r="F874" s="123"/>
      <c r="G874" s="125"/>
      <c r="H874" s="123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</row>
    <row r="875" spans="1:28" ht="28.5" customHeight="1" x14ac:dyDescent="0.35">
      <c r="A875" s="122"/>
      <c r="B875" s="122"/>
      <c r="C875" s="122"/>
      <c r="D875" s="123"/>
      <c r="E875" s="124"/>
      <c r="F875" s="123"/>
      <c r="G875" s="125"/>
      <c r="H875" s="123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</row>
    <row r="876" spans="1:28" ht="28.5" customHeight="1" x14ac:dyDescent="0.35">
      <c r="A876" s="122"/>
      <c r="B876" s="122"/>
      <c r="C876" s="122"/>
      <c r="D876" s="123"/>
      <c r="E876" s="124"/>
      <c r="F876" s="123"/>
      <c r="G876" s="125"/>
      <c r="H876" s="123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</row>
    <row r="877" spans="1:28" ht="28.5" customHeight="1" x14ac:dyDescent="0.35">
      <c r="A877" s="122"/>
      <c r="B877" s="122"/>
      <c r="C877" s="122"/>
      <c r="D877" s="123"/>
      <c r="E877" s="124"/>
      <c r="F877" s="123"/>
      <c r="G877" s="125"/>
      <c r="H877" s="123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</row>
    <row r="878" spans="1:28" ht="28.5" customHeight="1" x14ac:dyDescent="0.35">
      <c r="A878" s="122"/>
      <c r="B878" s="122"/>
      <c r="C878" s="122"/>
      <c r="D878" s="123"/>
      <c r="E878" s="124"/>
      <c r="F878" s="123"/>
      <c r="G878" s="125"/>
      <c r="H878" s="123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</row>
    <row r="879" spans="1:28" ht="28.5" customHeight="1" x14ac:dyDescent="0.35">
      <c r="A879" s="122"/>
      <c r="B879" s="122"/>
      <c r="C879" s="122"/>
      <c r="D879" s="123"/>
      <c r="E879" s="124"/>
      <c r="F879" s="123"/>
      <c r="G879" s="125"/>
      <c r="H879" s="123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</row>
    <row r="880" spans="1:28" ht="28.5" customHeight="1" x14ac:dyDescent="0.35">
      <c r="A880" s="122"/>
      <c r="B880" s="122"/>
      <c r="C880" s="122"/>
      <c r="D880" s="123"/>
      <c r="E880" s="124"/>
      <c r="F880" s="123"/>
      <c r="G880" s="125"/>
      <c r="H880" s="123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</row>
    <row r="881" spans="1:28" ht="28.5" customHeight="1" x14ac:dyDescent="0.35">
      <c r="A881" s="122"/>
      <c r="B881" s="122"/>
      <c r="C881" s="122"/>
      <c r="D881" s="123"/>
      <c r="E881" s="124"/>
      <c r="F881" s="123"/>
      <c r="G881" s="125"/>
      <c r="H881" s="123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</row>
    <row r="882" spans="1:28" ht="28.5" customHeight="1" x14ac:dyDescent="0.35">
      <c r="A882" s="122"/>
      <c r="B882" s="122"/>
      <c r="C882" s="122"/>
      <c r="D882" s="123"/>
      <c r="E882" s="124"/>
      <c r="F882" s="123"/>
      <c r="G882" s="125"/>
      <c r="H882" s="123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</row>
    <row r="883" spans="1:28" ht="28.5" customHeight="1" x14ac:dyDescent="0.35">
      <c r="A883" s="122"/>
      <c r="B883" s="122"/>
      <c r="C883" s="122"/>
      <c r="D883" s="123"/>
      <c r="E883" s="124"/>
      <c r="F883" s="123"/>
      <c r="G883" s="125"/>
      <c r="H883" s="123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</row>
    <row r="884" spans="1:28" ht="28.5" customHeight="1" x14ac:dyDescent="0.35">
      <c r="A884" s="122"/>
      <c r="B884" s="122"/>
      <c r="C884" s="122"/>
      <c r="D884" s="123"/>
      <c r="E884" s="124"/>
      <c r="F884" s="123"/>
      <c r="G884" s="125"/>
      <c r="H884" s="123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</row>
    <row r="885" spans="1:28" ht="28.5" customHeight="1" x14ac:dyDescent="0.35">
      <c r="A885" s="122"/>
      <c r="B885" s="122"/>
      <c r="C885" s="122"/>
      <c r="D885" s="123"/>
      <c r="E885" s="124"/>
      <c r="F885" s="123"/>
      <c r="G885" s="125"/>
      <c r="H885" s="123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</row>
    <row r="886" spans="1:28" ht="28.5" customHeight="1" x14ac:dyDescent="0.35">
      <c r="A886" s="122"/>
      <c r="B886" s="122"/>
      <c r="C886" s="122"/>
      <c r="D886" s="123"/>
      <c r="E886" s="124"/>
      <c r="F886" s="123"/>
      <c r="G886" s="125"/>
      <c r="H886" s="123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</row>
    <row r="887" spans="1:28" ht="28.5" customHeight="1" x14ac:dyDescent="0.35">
      <c r="A887" s="122"/>
      <c r="B887" s="122"/>
      <c r="C887" s="122"/>
      <c r="D887" s="123"/>
      <c r="E887" s="124"/>
      <c r="F887" s="123"/>
      <c r="G887" s="125"/>
      <c r="H887" s="123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</row>
    <row r="888" spans="1:28" ht="28.5" customHeight="1" x14ac:dyDescent="0.35">
      <c r="A888" s="122"/>
      <c r="B888" s="122"/>
      <c r="C888" s="122"/>
      <c r="D888" s="123"/>
      <c r="E888" s="124"/>
      <c r="F888" s="123"/>
      <c r="G888" s="125"/>
      <c r="H888" s="123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</row>
    <row r="889" spans="1:28" ht="28.5" customHeight="1" x14ac:dyDescent="0.35">
      <c r="A889" s="122"/>
      <c r="B889" s="122"/>
      <c r="C889" s="122"/>
      <c r="D889" s="123"/>
      <c r="E889" s="124"/>
      <c r="F889" s="123"/>
      <c r="G889" s="125"/>
      <c r="H889" s="123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</row>
    <row r="890" spans="1:28" ht="28.5" customHeight="1" x14ac:dyDescent="0.35">
      <c r="A890" s="122"/>
      <c r="B890" s="122"/>
      <c r="C890" s="122"/>
      <c r="D890" s="123"/>
      <c r="E890" s="124"/>
      <c r="F890" s="123"/>
      <c r="G890" s="125"/>
      <c r="H890" s="123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</row>
    <row r="891" spans="1:28" ht="28.5" customHeight="1" x14ac:dyDescent="0.35">
      <c r="A891" s="122"/>
      <c r="B891" s="122"/>
      <c r="C891" s="122"/>
      <c r="D891" s="123"/>
      <c r="E891" s="124"/>
      <c r="F891" s="123"/>
      <c r="G891" s="125"/>
      <c r="H891" s="123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</row>
    <row r="892" spans="1:28" ht="28.5" customHeight="1" x14ac:dyDescent="0.35">
      <c r="A892" s="122"/>
      <c r="B892" s="122"/>
      <c r="C892" s="122"/>
      <c r="D892" s="123"/>
      <c r="E892" s="124"/>
      <c r="F892" s="123"/>
      <c r="G892" s="125"/>
      <c r="H892" s="123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</row>
    <row r="893" spans="1:28" ht="28.5" customHeight="1" x14ac:dyDescent="0.35">
      <c r="A893" s="122"/>
      <c r="B893" s="122"/>
      <c r="C893" s="122"/>
      <c r="D893" s="123"/>
      <c r="E893" s="124"/>
      <c r="F893" s="123"/>
      <c r="G893" s="125"/>
      <c r="H893" s="123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</row>
    <row r="894" spans="1:28" ht="28.5" customHeight="1" x14ac:dyDescent="0.35">
      <c r="A894" s="122"/>
      <c r="B894" s="122"/>
      <c r="C894" s="122"/>
      <c r="D894" s="123"/>
      <c r="E894" s="124"/>
      <c r="F894" s="123"/>
      <c r="G894" s="125"/>
      <c r="H894" s="123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</row>
    <row r="895" spans="1:28" ht="28.5" customHeight="1" x14ac:dyDescent="0.35">
      <c r="A895" s="122"/>
      <c r="B895" s="122"/>
      <c r="C895" s="122"/>
      <c r="D895" s="123"/>
      <c r="E895" s="124"/>
      <c r="F895" s="123"/>
      <c r="G895" s="125"/>
      <c r="H895" s="123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</row>
    <row r="896" spans="1:28" ht="28.5" customHeight="1" x14ac:dyDescent="0.35">
      <c r="A896" s="122"/>
      <c r="B896" s="122"/>
      <c r="C896" s="122"/>
      <c r="D896" s="123"/>
      <c r="E896" s="124"/>
      <c r="F896" s="123"/>
      <c r="G896" s="125"/>
      <c r="H896" s="123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</row>
    <row r="897" spans="1:28" ht="28.5" customHeight="1" x14ac:dyDescent="0.35">
      <c r="A897" s="122"/>
      <c r="B897" s="122"/>
      <c r="C897" s="122"/>
      <c r="D897" s="123"/>
      <c r="E897" s="124"/>
      <c r="F897" s="123"/>
      <c r="G897" s="125"/>
      <c r="H897" s="123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</row>
    <row r="898" spans="1:28" ht="28.5" customHeight="1" x14ac:dyDescent="0.35">
      <c r="A898" s="122"/>
      <c r="B898" s="122"/>
      <c r="C898" s="122"/>
      <c r="D898" s="123"/>
      <c r="E898" s="124"/>
      <c r="F898" s="123"/>
      <c r="G898" s="125"/>
      <c r="H898" s="123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</row>
    <row r="899" spans="1:28" ht="28.5" customHeight="1" x14ac:dyDescent="0.35">
      <c r="A899" s="122"/>
      <c r="B899" s="122"/>
      <c r="C899" s="122"/>
      <c r="D899" s="123"/>
      <c r="E899" s="124"/>
      <c r="F899" s="123"/>
      <c r="G899" s="125"/>
      <c r="H899" s="123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</row>
    <row r="900" spans="1:28" ht="28.5" customHeight="1" x14ac:dyDescent="0.35">
      <c r="A900" s="122"/>
      <c r="B900" s="122"/>
      <c r="C900" s="122"/>
      <c r="D900" s="123"/>
      <c r="E900" s="124"/>
      <c r="F900" s="123"/>
      <c r="G900" s="125"/>
      <c r="H900" s="123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</row>
    <row r="901" spans="1:28" ht="28.5" customHeight="1" x14ac:dyDescent="0.35">
      <c r="A901" s="122"/>
      <c r="B901" s="122"/>
      <c r="C901" s="122"/>
      <c r="D901" s="123"/>
      <c r="E901" s="124"/>
      <c r="F901" s="123"/>
      <c r="G901" s="125"/>
      <c r="H901" s="123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</row>
    <row r="902" spans="1:28" ht="28.5" customHeight="1" x14ac:dyDescent="0.35">
      <c r="A902" s="122"/>
      <c r="B902" s="122"/>
      <c r="C902" s="122"/>
      <c r="D902" s="123"/>
      <c r="E902" s="124"/>
      <c r="F902" s="123"/>
      <c r="G902" s="125"/>
      <c r="H902" s="123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</row>
    <row r="903" spans="1:28" ht="28.5" customHeight="1" x14ac:dyDescent="0.35">
      <c r="A903" s="122"/>
      <c r="B903" s="122"/>
      <c r="C903" s="122"/>
      <c r="D903" s="123"/>
      <c r="E903" s="124"/>
      <c r="F903" s="123"/>
      <c r="G903" s="125"/>
      <c r="H903" s="123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</row>
    <row r="904" spans="1:28" ht="28.5" customHeight="1" x14ac:dyDescent="0.35">
      <c r="A904" s="122"/>
      <c r="B904" s="122"/>
      <c r="C904" s="122"/>
      <c r="D904" s="123"/>
      <c r="E904" s="124"/>
      <c r="F904" s="123"/>
      <c r="G904" s="125"/>
      <c r="H904" s="123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</row>
    <row r="905" spans="1:28" ht="28.5" customHeight="1" x14ac:dyDescent="0.35">
      <c r="A905" s="122"/>
      <c r="B905" s="122"/>
      <c r="C905" s="122"/>
      <c r="D905" s="123"/>
      <c r="E905" s="124"/>
      <c r="F905" s="123"/>
      <c r="G905" s="125"/>
      <c r="H905" s="123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</row>
    <row r="906" spans="1:28" ht="28.5" customHeight="1" x14ac:dyDescent="0.35">
      <c r="A906" s="122"/>
      <c r="B906" s="122"/>
      <c r="C906" s="122"/>
      <c r="D906" s="123"/>
      <c r="E906" s="124"/>
      <c r="F906" s="123"/>
      <c r="G906" s="125"/>
      <c r="H906" s="123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</row>
    <row r="907" spans="1:28" ht="28.5" customHeight="1" x14ac:dyDescent="0.35">
      <c r="A907" s="122"/>
      <c r="B907" s="122"/>
      <c r="C907" s="122"/>
      <c r="D907" s="123"/>
      <c r="E907" s="124"/>
      <c r="F907" s="123"/>
      <c r="G907" s="125"/>
      <c r="H907" s="123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</row>
    <row r="908" spans="1:28" ht="28.5" customHeight="1" x14ac:dyDescent="0.35">
      <c r="A908" s="122"/>
      <c r="B908" s="122"/>
      <c r="C908" s="122"/>
      <c r="D908" s="123"/>
      <c r="E908" s="124"/>
      <c r="F908" s="123"/>
      <c r="G908" s="125"/>
      <c r="H908" s="123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</row>
    <row r="909" spans="1:28" ht="28.5" customHeight="1" x14ac:dyDescent="0.35">
      <c r="A909" s="122"/>
      <c r="B909" s="122"/>
      <c r="C909" s="122"/>
      <c r="D909" s="123"/>
      <c r="E909" s="124"/>
      <c r="F909" s="123"/>
      <c r="G909" s="125"/>
      <c r="H909" s="123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</row>
    <row r="910" spans="1:28" ht="28.5" customHeight="1" x14ac:dyDescent="0.35">
      <c r="A910" s="122"/>
      <c r="B910" s="122"/>
      <c r="C910" s="122"/>
      <c r="D910" s="123"/>
      <c r="E910" s="124"/>
      <c r="F910" s="123"/>
      <c r="G910" s="125"/>
      <c r="H910" s="123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</row>
    <row r="911" spans="1:28" ht="28.5" customHeight="1" x14ac:dyDescent="0.35">
      <c r="A911" s="122"/>
      <c r="B911" s="122"/>
      <c r="C911" s="122"/>
      <c r="D911" s="123"/>
      <c r="E911" s="124"/>
      <c r="F911" s="123"/>
      <c r="G911" s="125"/>
      <c r="H911" s="123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</row>
    <row r="912" spans="1:28" ht="28.5" customHeight="1" x14ac:dyDescent="0.35">
      <c r="A912" s="122"/>
      <c r="B912" s="122"/>
      <c r="C912" s="122"/>
      <c r="D912" s="123"/>
      <c r="E912" s="124"/>
      <c r="F912" s="123"/>
      <c r="G912" s="125"/>
      <c r="H912" s="123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</row>
    <row r="913" spans="1:28" ht="28.5" customHeight="1" x14ac:dyDescent="0.35">
      <c r="A913" s="122"/>
      <c r="B913" s="122"/>
      <c r="C913" s="122"/>
      <c r="D913" s="123"/>
      <c r="E913" s="124"/>
      <c r="F913" s="123"/>
      <c r="G913" s="125"/>
      <c r="H913" s="123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</row>
    <row r="914" spans="1:28" ht="28.5" customHeight="1" x14ac:dyDescent="0.35">
      <c r="A914" s="122"/>
      <c r="B914" s="122"/>
      <c r="C914" s="122"/>
      <c r="D914" s="123"/>
      <c r="E914" s="124"/>
      <c r="F914" s="123"/>
      <c r="G914" s="125"/>
      <c r="H914" s="123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</row>
    <row r="915" spans="1:28" ht="28.5" customHeight="1" x14ac:dyDescent="0.35">
      <c r="A915" s="122"/>
      <c r="B915" s="122"/>
      <c r="C915" s="122"/>
      <c r="D915" s="123"/>
      <c r="E915" s="124"/>
      <c r="F915" s="123"/>
      <c r="G915" s="125"/>
      <c r="H915" s="123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</row>
    <row r="916" spans="1:28" ht="28.5" customHeight="1" x14ac:dyDescent="0.35">
      <c r="A916" s="122"/>
      <c r="B916" s="122"/>
      <c r="C916" s="122"/>
      <c r="D916" s="123"/>
      <c r="E916" s="124"/>
      <c r="F916" s="123"/>
      <c r="G916" s="125"/>
      <c r="H916" s="123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</row>
    <row r="917" spans="1:28" ht="28.5" customHeight="1" x14ac:dyDescent="0.35">
      <c r="A917" s="122"/>
      <c r="B917" s="122"/>
      <c r="C917" s="122"/>
      <c r="D917" s="123"/>
      <c r="E917" s="124"/>
      <c r="F917" s="123"/>
      <c r="G917" s="125"/>
      <c r="H917" s="123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</row>
    <row r="918" spans="1:28" ht="28.5" customHeight="1" x14ac:dyDescent="0.35">
      <c r="A918" s="122"/>
      <c r="B918" s="122"/>
      <c r="C918" s="122"/>
      <c r="D918" s="123"/>
      <c r="E918" s="124"/>
      <c r="F918" s="123"/>
      <c r="G918" s="125"/>
      <c r="H918" s="123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</row>
    <row r="919" spans="1:28" ht="28.5" customHeight="1" x14ac:dyDescent="0.35">
      <c r="A919" s="122"/>
      <c r="B919" s="122"/>
      <c r="C919" s="122"/>
      <c r="D919" s="123"/>
      <c r="E919" s="124"/>
      <c r="F919" s="123"/>
      <c r="G919" s="125"/>
      <c r="H919" s="123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</row>
    <row r="920" spans="1:28" ht="28.5" customHeight="1" x14ac:dyDescent="0.35">
      <c r="A920" s="122"/>
      <c r="B920" s="122"/>
      <c r="C920" s="122"/>
      <c r="D920" s="123"/>
      <c r="E920" s="124"/>
      <c r="F920" s="123"/>
      <c r="G920" s="125"/>
      <c r="H920" s="123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</row>
    <row r="921" spans="1:28" ht="28.5" customHeight="1" x14ac:dyDescent="0.35">
      <c r="A921" s="122"/>
      <c r="B921" s="122"/>
      <c r="C921" s="122"/>
      <c r="D921" s="123"/>
      <c r="E921" s="124"/>
      <c r="F921" s="123"/>
      <c r="G921" s="125"/>
      <c r="H921" s="123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</row>
    <row r="922" spans="1:28" ht="28.5" customHeight="1" x14ac:dyDescent="0.35">
      <c r="A922" s="122"/>
      <c r="B922" s="122"/>
      <c r="C922" s="122"/>
      <c r="D922" s="123"/>
      <c r="E922" s="124"/>
      <c r="F922" s="123"/>
      <c r="G922" s="125"/>
      <c r="H922" s="123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</row>
    <row r="923" spans="1:28" ht="28.5" customHeight="1" x14ac:dyDescent="0.35">
      <c r="A923" s="122"/>
      <c r="B923" s="122"/>
      <c r="C923" s="122"/>
      <c r="D923" s="123"/>
      <c r="E923" s="124"/>
      <c r="F923" s="123"/>
      <c r="G923" s="125"/>
      <c r="H923" s="123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</row>
    <row r="924" spans="1:28" ht="28.5" customHeight="1" x14ac:dyDescent="0.35">
      <c r="A924" s="122"/>
      <c r="B924" s="122"/>
      <c r="C924" s="122"/>
      <c r="D924" s="123"/>
      <c r="E924" s="124"/>
      <c r="F924" s="123"/>
      <c r="G924" s="125"/>
      <c r="H924" s="123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</row>
    <row r="925" spans="1:28" ht="28.5" customHeight="1" x14ac:dyDescent="0.35">
      <c r="A925" s="122"/>
      <c r="B925" s="122"/>
      <c r="C925" s="122"/>
      <c r="D925" s="123"/>
      <c r="E925" s="124"/>
      <c r="F925" s="123"/>
      <c r="G925" s="125"/>
      <c r="H925" s="123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</row>
    <row r="926" spans="1:28" ht="28.5" customHeight="1" x14ac:dyDescent="0.35">
      <c r="A926" s="122"/>
      <c r="B926" s="122"/>
      <c r="C926" s="122"/>
      <c r="D926" s="123"/>
      <c r="E926" s="124"/>
      <c r="F926" s="123"/>
      <c r="G926" s="125"/>
      <c r="H926" s="123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</row>
    <row r="927" spans="1:28" ht="28.5" customHeight="1" x14ac:dyDescent="0.35">
      <c r="A927" s="122"/>
      <c r="B927" s="122"/>
      <c r="C927" s="122"/>
      <c r="D927" s="123"/>
      <c r="E927" s="124"/>
      <c r="F927" s="123"/>
      <c r="G927" s="125"/>
      <c r="H927" s="123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</row>
    <row r="928" spans="1:28" ht="28.5" customHeight="1" x14ac:dyDescent="0.35">
      <c r="A928" s="122"/>
      <c r="B928" s="122"/>
      <c r="C928" s="122"/>
      <c r="D928" s="123"/>
      <c r="E928" s="124"/>
      <c r="F928" s="123"/>
      <c r="G928" s="125"/>
      <c r="H928" s="123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</row>
    <row r="929" spans="1:28" ht="28.5" customHeight="1" x14ac:dyDescent="0.35">
      <c r="A929" s="122"/>
      <c r="B929" s="122"/>
      <c r="C929" s="122"/>
      <c r="D929" s="123"/>
      <c r="E929" s="124"/>
      <c r="F929" s="123"/>
      <c r="G929" s="125"/>
      <c r="H929" s="123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</row>
    <row r="930" spans="1:28" ht="28.5" customHeight="1" x14ac:dyDescent="0.35">
      <c r="A930" s="122"/>
      <c r="B930" s="122"/>
      <c r="C930" s="122"/>
      <c r="D930" s="123"/>
      <c r="E930" s="124"/>
      <c r="F930" s="123"/>
      <c r="G930" s="125"/>
      <c r="H930" s="123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</row>
    <row r="931" spans="1:28" ht="28.5" customHeight="1" x14ac:dyDescent="0.35">
      <c r="A931" s="122"/>
      <c r="B931" s="122"/>
      <c r="C931" s="122"/>
      <c r="D931" s="123"/>
      <c r="E931" s="124"/>
      <c r="F931" s="123"/>
      <c r="G931" s="125"/>
      <c r="H931" s="123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</row>
    <row r="932" spans="1:28" ht="28.5" customHeight="1" x14ac:dyDescent="0.35">
      <c r="A932" s="122"/>
      <c r="B932" s="122"/>
      <c r="C932" s="122"/>
      <c r="D932" s="123"/>
      <c r="E932" s="124"/>
      <c r="F932" s="123"/>
      <c r="G932" s="125"/>
      <c r="H932" s="123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</row>
    <row r="933" spans="1:28" ht="28.5" customHeight="1" x14ac:dyDescent="0.35">
      <c r="A933" s="122"/>
      <c r="B933" s="122"/>
      <c r="C933" s="122"/>
      <c r="D933" s="123"/>
      <c r="E933" s="124"/>
      <c r="F933" s="123"/>
      <c r="G933" s="125"/>
      <c r="H933" s="123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</row>
    <row r="934" spans="1:28" ht="28.5" customHeight="1" x14ac:dyDescent="0.35">
      <c r="A934" s="122"/>
      <c r="B934" s="122"/>
      <c r="C934" s="122"/>
      <c r="D934" s="123"/>
      <c r="E934" s="124"/>
      <c r="F934" s="123"/>
      <c r="G934" s="125"/>
      <c r="H934" s="123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</row>
    <row r="935" spans="1:28" ht="28.5" customHeight="1" x14ac:dyDescent="0.35">
      <c r="A935" s="122"/>
      <c r="B935" s="122"/>
      <c r="C935" s="122"/>
      <c r="D935" s="123"/>
      <c r="E935" s="124"/>
      <c r="F935" s="123"/>
      <c r="G935" s="125"/>
      <c r="H935" s="123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</row>
    <row r="936" spans="1:28" ht="28.5" customHeight="1" x14ac:dyDescent="0.35">
      <c r="A936" s="122"/>
      <c r="B936" s="122"/>
      <c r="C936" s="122"/>
      <c r="D936" s="123"/>
      <c r="E936" s="124"/>
      <c r="F936" s="123"/>
      <c r="G936" s="125"/>
      <c r="H936" s="123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</row>
    <row r="937" spans="1:28" ht="28.5" customHeight="1" x14ac:dyDescent="0.35">
      <c r="A937" s="122"/>
      <c r="B937" s="122"/>
      <c r="C937" s="122"/>
      <c r="D937" s="123"/>
      <c r="E937" s="124"/>
      <c r="F937" s="123"/>
      <c r="G937" s="125"/>
      <c r="H937" s="123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</row>
    <row r="938" spans="1:28" ht="28.5" customHeight="1" x14ac:dyDescent="0.35">
      <c r="A938" s="122"/>
      <c r="B938" s="122"/>
      <c r="C938" s="122"/>
      <c r="D938" s="123"/>
      <c r="E938" s="124"/>
      <c r="F938" s="123"/>
      <c r="G938" s="125"/>
      <c r="H938" s="123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</row>
    <row r="939" spans="1:28" ht="28.5" customHeight="1" x14ac:dyDescent="0.35">
      <c r="A939" s="122"/>
      <c r="B939" s="122"/>
      <c r="C939" s="122"/>
      <c r="D939" s="123"/>
      <c r="E939" s="124"/>
      <c r="F939" s="123"/>
      <c r="G939" s="125"/>
      <c r="H939" s="123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</row>
    <row r="940" spans="1:28" ht="28.5" customHeight="1" x14ac:dyDescent="0.35">
      <c r="A940" s="122"/>
      <c r="B940" s="122"/>
      <c r="C940" s="122"/>
      <c r="D940" s="123"/>
      <c r="E940" s="124"/>
      <c r="F940" s="123"/>
      <c r="G940" s="125"/>
      <c r="H940" s="123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</row>
    <row r="941" spans="1:28" ht="28.5" customHeight="1" x14ac:dyDescent="0.35">
      <c r="A941" s="122"/>
      <c r="B941" s="122"/>
      <c r="C941" s="122"/>
      <c r="D941" s="123"/>
      <c r="E941" s="124"/>
      <c r="F941" s="123"/>
      <c r="G941" s="125"/>
      <c r="H941" s="123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</row>
    <row r="942" spans="1:28" ht="28.5" customHeight="1" x14ac:dyDescent="0.35">
      <c r="A942" s="122"/>
      <c r="B942" s="122"/>
      <c r="C942" s="122"/>
      <c r="D942" s="123"/>
      <c r="E942" s="124"/>
      <c r="F942" s="123"/>
      <c r="G942" s="125"/>
      <c r="H942" s="123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</row>
    <row r="943" spans="1:28" ht="28.5" customHeight="1" x14ac:dyDescent="0.35">
      <c r="A943" s="122"/>
      <c r="B943" s="122"/>
      <c r="C943" s="122"/>
      <c r="D943" s="123"/>
      <c r="E943" s="124"/>
      <c r="F943" s="123"/>
      <c r="G943" s="125"/>
      <c r="H943" s="123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</row>
    <row r="944" spans="1:28" ht="28.5" customHeight="1" x14ac:dyDescent="0.35">
      <c r="A944" s="122"/>
      <c r="B944" s="122"/>
      <c r="C944" s="122"/>
      <c r="D944" s="123"/>
      <c r="E944" s="124"/>
      <c r="F944" s="123"/>
      <c r="G944" s="125"/>
      <c r="H944" s="123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</row>
    <row r="945" spans="1:28" ht="28.5" customHeight="1" x14ac:dyDescent="0.35">
      <c r="A945" s="122"/>
      <c r="B945" s="122"/>
      <c r="C945" s="122"/>
      <c r="D945" s="123"/>
      <c r="E945" s="124"/>
      <c r="F945" s="123"/>
      <c r="G945" s="125"/>
      <c r="H945" s="123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</row>
    <row r="946" spans="1:28" ht="28.5" customHeight="1" x14ac:dyDescent="0.35">
      <c r="A946" s="122"/>
      <c r="B946" s="122"/>
      <c r="C946" s="122"/>
      <c r="D946" s="123"/>
      <c r="E946" s="124"/>
      <c r="F946" s="123"/>
      <c r="G946" s="125"/>
      <c r="H946" s="123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</row>
    <row r="947" spans="1:28" ht="28.5" customHeight="1" x14ac:dyDescent="0.35">
      <c r="A947" s="122"/>
      <c r="B947" s="122"/>
      <c r="C947" s="122"/>
      <c r="D947" s="123"/>
      <c r="E947" s="124"/>
      <c r="F947" s="123"/>
      <c r="G947" s="125"/>
      <c r="H947" s="123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</row>
    <row r="948" spans="1:28" ht="28.5" customHeight="1" x14ac:dyDescent="0.35">
      <c r="A948" s="122"/>
      <c r="B948" s="122"/>
      <c r="C948" s="122"/>
      <c r="D948" s="123"/>
      <c r="E948" s="124"/>
      <c r="F948" s="123"/>
      <c r="G948" s="125"/>
      <c r="H948" s="123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</row>
    <row r="949" spans="1:28" ht="28.5" customHeight="1" x14ac:dyDescent="0.35">
      <c r="A949" s="122"/>
      <c r="B949" s="122"/>
      <c r="C949" s="122"/>
      <c r="D949" s="123"/>
      <c r="E949" s="124"/>
      <c r="F949" s="123"/>
      <c r="G949" s="125"/>
      <c r="H949" s="123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</row>
    <row r="950" spans="1:28" ht="28.5" customHeight="1" x14ac:dyDescent="0.35">
      <c r="A950" s="122"/>
      <c r="B950" s="122"/>
      <c r="C950" s="122"/>
      <c r="D950" s="123"/>
      <c r="E950" s="124"/>
      <c r="F950" s="123"/>
      <c r="G950" s="125"/>
      <c r="H950" s="123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</row>
    <row r="951" spans="1:28" ht="28.5" customHeight="1" x14ac:dyDescent="0.35">
      <c r="A951" s="122"/>
      <c r="B951" s="122"/>
      <c r="C951" s="122"/>
      <c r="D951" s="123"/>
      <c r="E951" s="124"/>
      <c r="F951" s="123"/>
      <c r="G951" s="125"/>
      <c r="H951" s="123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</row>
    <row r="952" spans="1:28" ht="28.5" customHeight="1" x14ac:dyDescent="0.35">
      <c r="A952" s="122"/>
      <c r="B952" s="122"/>
      <c r="C952" s="122"/>
      <c r="D952" s="123"/>
      <c r="E952" s="124"/>
      <c r="F952" s="123"/>
      <c r="G952" s="125"/>
      <c r="H952" s="123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</row>
    <row r="953" spans="1:28" ht="28.5" customHeight="1" x14ac:dyDescent="0.35">
      <c r="A953" s="122"/>
      <c r="B953" s="122"/>
      <c r="C953" s="122"/>
      <c r="D953" s="123"/>
      <c r="E953" s="124"/>
      <c r="F953" s="123"/>
      <c r="G953" s="125"/>
      <c r="H953" s="123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</row>
    <row r="954" spans="1:28" ht="28.5" customHeight="1" x14ac:dyDescent="0.35">
      <c r="A954" s="122"/>
      <c r="B954" s="122"/>
      <c r="C954" s="122"/>
      <c r="D954" s="123"/>
      <c r="E954" s="124"/>
      <c r="F954" s="123"/>
      <c r="G954" s="125"/>
      <c r="H954" s="123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</row>
    <row r="955" spans="1:28" ht="28.5" customHeight="1" x14ac:dyDescent="0.35">
      <c r="A955" s="122"/>
      <c r="B955" s="122"/>
      <c r="C955" s="122"/>
      <c r="D955" s="123"/>
      <c r="E955" s="124"/>
      <c r="F955" s="123"/>
      <c r="G955" s="125"/>
      <c r="H955" s="123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</row>
    <row r="956" spans="1:28" ht="28.5" customHeight="1" x14ac:dyDescent="0.35">
      <c r="A956" s="122"/>
      <c r="B956" s="122"/>
      <c r="C956" s="122"/>
      <c r="D956" s="123"/>
      <c r="E956" s="124"/>
      <c r="F956" s="123"/>
      <c r="G956" s="125"/>
      <c r="H956" s="123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</row>
    <row r="957" spans="1:28" ht="28.5" customHeight="1" x14ac:dyDescent="0.35">
      <c r="A957" s="122"/>
      <c r="B957" s="122"/>
      <c r="C957" s="122"/>
      <c r="D957" s="123"/>
      <c r="E957" s="124"/>
      <c r="F957" s="123"/>
      <c r="G957" s="125"/>
      <c r="H957" s="123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</row>
    <row r="958" spans="1:28" ht="28.5" customHeight="1" x14ac:dyDescent="0.35">
      <c r="A958" s="122"/>
      <c r="B958" s="122"/>
      <c r="C958" s="122"/>
      <c r="D958" s="123"/>
      <c r="E958" s="124"/>
      <c r="F958" s="123"/>
      <c r="G958" s="125"/>
      <c r="H958" s="123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</row>
    <row r="959" spans="1:28" ht="28.5" customHeight="1" x14ac:dyDescent="0.35">
      <c r="A959" s="122"/>
      <c r="B959" s="122"/>
      <c r="C959" s="122"/>
      <c r="D959" s="123"/>
      <c r="E959" s="124"/>
      <c r="F959" s="123"/>
      <c r="G959" s="125"/>
      <c r="H959" s="123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</row>
    <row r="960" spans="1:28" ht="28.5" customHeight="1" x14ac:dyDescent="0.35">
      <c r="A960" s="122"/>
      <c r="B960" s="122"/>
      <c r="C960" s="122"/>
      <c r="D960" s="123"/>
      <c r="E960" s="124"/>
      <c r="F960" s="123"/>
      <c r="G960" s="125"/>
      <c r="H960" s="123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</row>
    <row r="961" spans="1:28" ht="28.5" customHeight="1" x14ac:dyDescent="0.35">
      <c r="A961" s="122"/>
      <c r="B961" s="122"/>
      <c r="C961" s="122"/>
      <c r="D961" s="123"/>
      <c r="E961" s="124"/>
      <c r="F961" s="123"/>
      <c r="G961" s="125"/>
      <c r="H961" s="123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</row>
    <row r="962" spans="1:28" ht="28.5" customHeight="1" x14ac:dyDescent="0.35">
      <c r="A962" s="122"/>
      <c r="B962" s="122"/>
      <c r="C962" s="122"/>
      <c r="D962" s="123"/>
      <c r="E962" s="124"/>
      <c r="F962" s="123"/>
      <c r="G962" s="125"/>
      <c r="H962" s="123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</row>
    <row r="963" spans="1:28" ht="28.5" customHeight="1" x14ac:dyDescent="0.35">
      <c r="A963" s="122"/>
      <c r="B963" s="122"/>
      <c r="C963" s="122"/>
      <c r="D963" s="123"/>
      <c r="E963" s="124"/>
      <c r="F963" s="123"/>
      <c r="G963" s="125"/>
      <c r="H963" s="123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</row>
    <row r="964" spans="1:28" ht="28.5" customHeight="1" x14ac:dyDescent="0.35">
      <c r="A964" s="122"/>
      <c r="B964" s="122"/>
      <c r="C964" s="122"/>
      <c r="D964" s="123"/>
      <c r="E964" s="124"/>
      <c r="F964" s="123"/>
      <c r="G964" s="125"/>
      <c r="H964" s="123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</row>
    <row r="965" spans="1:28" ht="28.5" customHeight="1" x14ac:dyDescent="0.35">
      <c r="A965" s="122"/>
      <c r="B965" s="122"/>
      <c r="C965" s="122"/>
      <c r="D965" s="123"/>
      <c r="E965" s="124"/>
      <c r="F965" s="123"/>
      <c r="G965" s="125"/>
      <c r="H965" s="123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</row>
    <row r="966" spans="1:28" ht="28.5" customHeight="1" x14ac:dyDescent="0.35">
      <c r="A966" s="122"/>
      <c r="B966" s="122"/>
      <c r="C966" s="122"/>
      <c r="D966" s="123"/>
      <c r="E966" s="124"/>
      <c r="F966" s="123"/>
      <c r="G966" s="125"/>
      <c r="H966" s="123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</row>
    <row r="967" spans="1:28" ht="28.5" customHeight="1" x14ac:dyDescent="0.35">
      <c r="A967" s="122"/>
      <c r="B967" s="122"/>
      <c r="C967" s="122"/>
      <c r="D967" s="123"/>
      <c r="E967" s="124"/>
      <c r="F967" s="123"/>
      <c r="G967" s="125"/>
      <c r="H967" s="123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</row>
    <row r="968" spans="1:28" ht="28.5" customHeight="1" x14ac:dyDescent="0.35">
      <c r="A968" s="122"/>
      <c r="B968" s="122"/>
      <c r="C968" s="122"/>
      <c r="D968" s="123"/>
      <c r="E968" s="124"/>
      <c r="F968" s="123"/>
      <c r="G968" s="125"/>
      <c r="H968" s="123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</row>
    <row r="969" spans="1:28" ht="28.5" customHeight="1" x14ac:dyDescent="0.35">
      <c r="A969" s="122"/>
      <c r="B969" s="122"/>
      <c r="C969" s="122"/>
      <c r="D969" s="123"/>
      <c r="E969" s="124"/>
      <c r="F969" s="123"/>
      <c r="G969" s="125"/>
      <c r="H969" s="123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</row>
    <row r="970" spans="1:28" ht="28.5" customHeight="1" x14ac:dyDescent="0.35">
      <c r="A970" s="122"/>
      <c r="B970" s="122"/>
      <c r="C970" s="122"/>
      <c r="D970" s="123"/>
      <c r="E970" s="124"/>
      <c r="F970" s="123"/>
      <c r="G970" s="125"/>
      <c r="H970" s="123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</row>
    <row r="971" spans="1:28" ht="28.5" customHeight="1" x14ac:dyDescent="0.35">
      <c r="A971" s="122"/>
      <c r="B971" s="122"/>
      <c r="C971" s="122"/>
      <c r="D971" s="123"/>
      <c r="E971" s="124"/>
      <c r="F971" s="123"/>
      <c r="G971" s="125"/>
      <c r="H971" s="123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</row>
    <row r="972" spans="1:28" ht="28.5" customHeight="1" x14ac:dyDescent="0.35">
      <c r="A972" s="122"/>
      <c r="B972" s="122"/>
      <c r="C972" s="122"/>
      <c r="D972" s="123"/>
      <c r="E972" s="124"/>
      <c r="F972" s="123"/>
      <c r="G972" s="125"/>
      <c r="H972" s="123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</row>
    <row r="973" spans="1:28" ht="28.5" customHeight="1" x14ac:dyDescent="0.35">
      <c r="A973" s="122"/>
      <c r="B973" s="122"/>
      <c r="C973" s="122"/>
      <c r="D973" s="123"/>
      <c r="E973" s="124"/>
      <c r="F973" s="123"/>
      <c r="G973" s="125"/>
      <c r="H973" s="123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</row>
    <row r="974" spans="1:28" ht="28.5" customHeight="1" x14ac:dyDescent="0.35">
      <c r="A974" s="122"/>
      <c r="B974" s="122"/>
      <c r="C974" s="122"/>
      <c r="D974" s="123"/>
      <c r="E974" s="124"/>
      <c r="F974" s="123"/>
      <c r="G974" s="125"/>
      <c r="H974" s="123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</row>
    <row r="975" spans="1:28" ht="28.5" customHeight="1" x14ac:dyDescent="0.35">
      <c r="A975" s="122"/>
      <c r="B975" s="122"/>
      <c r="C975" s="122"/>
      <c r="D975" s="123"/>
      <c r="E975" s="124"/>
      <c r="F975" s="123"/>
      <c r="G975" s="125"/>
      <c r="H975" s="123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</row>
    <row r="976" spans="1:28" ht="28.5" customHeight="1" x14ac:dyDescent="0.35">
      <c r="A976" s="122"/>
      <c r="B976" s="122"/>
      <c r="C976" s="122"/>
      <c r="D976" s="123"/>
      <c r="E976" s="124"/>
      <c r="F976" s="123"/>
      <c r="G976" s="125"/>
      <c r="H976" s="123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</row>
    <row r="977" spans="1:28" ht="28.5" customHeight="1" x14ac:dyDescent="0.35">
      <c r="A977" s="122"/>
      <c r="B977" s="122"/>
      <c r="C977" s="122"/>
      <c r="D977" s="123"/>
      <c r="E977" s="124"/>
      <c r="F977" s="123"/>
      <c r="G977" s="125"/>
      <c r="H977" s="123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</row>
    <row r="978" spans="1:28" ht="28.5" customHeight="1" x14ac:dyDescent="0.35">
      <c r="A978" s="122"/>
      <c r="B978" s="122"/>
      <c r="C978" s="122"/>
      <c r="D978" s="123"/>
      <c r="E978" s="124"/>
      <c r="F978" s="123"/>
      <c r="G978" s="125"/>
      <c r="H978" s="123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</row>
    <row r="979" spans="1:28" ht="28.5" customHeight="1" x14ac:dyDescent="0.35">
      <c r="A979" s="122"/>
      <c r="B979" s="122"/>
      <c r="C979" s="122"/>
      <c r="D979" s="123"/>
      <c r="E979" s="124"/>
      <c r="F979" s="123"/>
      <c r="G979" s="125"/>
      <c r="H979" s="123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</row>
    <row r="980" spans="1:28" ht="28.5" customHeight="1" x14ac:dyDescent="0.35">
      <c r="A980" s="122"/>
      <c r="B980" s="122"/>
      <c r="C980" s="122"/>
      <c r="D980" s="123"/>
      <c r="E980" s="124"/>
      <c r="F980" s="123"/>
      <c r="G980" s="125"/>
      <c r="H980" s="123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</row>
    <row r="981" spans="1:28" ht="28.5" customHeight="1" x14ac:dyDescent="0.35">
      <c r="A981" s="122"/>
      <c r="B981" s="122"/>
      <c r="C981" s="122"/>
      <c r="D981" s="123"/>
      <c r="E981" s="124"/>
      <c r="F981" s="123"/>
      <c r="G981" s="125"/>
      <c r="H981" s="123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</row>
    <row r="982" spans="1:28" ht="28.5" customHeight="1" x14ac:dyDescent="0.35">
      <c r="A982" s="122"/>
      <c r="B982" s="122"/>
      <c r="C982" s="122"/>
      <c r="D982" s="123"/>
      <c r="E982" s="124"/>
      <c r="F982" s="123"/>
      <c r="G982" s="125"/>
      <c r="H982" s="123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</row>
    <row r="983" spans="1:28" ht="28.5" customHeight="1" x14ac:dyDescent="0.35">
      <c r="A983" s="122"/>
      <c r="B983" s="122"/>
      <c r="C983" s="122"/>
      <c r="D983" s="123"/>
      <c r="E983" s="124"/>
      <c r="F983" s="123"/>
      <c r="G983" s="125"/>
      <c r="H983" s="123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</row>
    <row r="984" spans="1:28" ht="28.5" customHeight="1" x14ac:dyDescent="0.35">
      <c r="A984" s="122"/>
      <c r="B984" s="122"/>
      <c r="C984" s="122"/>
      <c r="D984" s="123"/>
      <c r="E984" s="124"/>
      <c r="F984" s="123"/>
      <c r="G984" s="125"/>
      <c r="H984" s="123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</row>
    <row r="985" spans="1:28" ht="28.5" customHeight="1" x14ac:dyDescent="0.35">
      <c r="A985" s="122"/>
      <c r="B985" s="122"/>
      <c r="C985" s="122"/>
      <c r="D985" s="123"/>
      <c r="E985" s="124"/>
      <c r="F985" s="123"/>
      <c r="G985" s="125"/>
      <c r="H985" s="123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</row>
    <row r="986" spans="1:28" ht="28.5" customHeight="1" x14ac:dyDescent="0.35">
      <c r="A986" s="122"/>
      <c r="B986" s="122"/>
      <c r="C986" s="122"/>
      <c r="D986" s="123"/>
      <c r="E986" s="124"/>
      <c r="F986" s="123"/>
      <c r="G986" s="125"/>
      <c r="H986" s="123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</row>
    <row r="987" spans="1:28" ht="28.5" customHeight="1" x14ac:dyDescent="0.35">
      <c r="A987" s="122"/>
      <c r="B987" s="122"/>
      <c r="C987" s="122"/>
      <c r="D987" s="123"/>
      <c r="E987" s="124"/>
      <c r="F987" s="123"/>
      <c r="G987" s="125"/>
      <c r="H987" s="123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</row>
    <row r="988" spans="1:28" ht="28.5" customHeight="1" x14ac:dyDescent="0.35">
      <c r="A988" s="122"/>
      <c r="B988" s="122"/>
      <c r="C988" s="122"/>
      <c r="D988" s="123"/>
      <c r="E988" s="124"/>
      <c r="F988" s="123"/>
      <c r="G988" s="125"/>
      <c r="H988" s="123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</row>
    <row r="989" spans="1:28" ht="28.5" customHeight="1" x14ac:dyDescent="0.35">
      <c r="A989" s="122"/>
      <c r="B989" s="122"/>
      <c r="C989" s="122"/>
      <c r="D989" s="123"/>
      <c r="E989" s="124"/>
      <c r="F989" s="123"/>
      <c r="G989" s="125"/>
      <c r="H989" s="123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</row>
    <row r="990" spans="1:28" ht="28.5" customHeight="1" x14ac:dyDescent="0.35">
      <c r="A990" s="122"/>
      <c r="B990" s="122"/>
      <c r="C990" s="122"/>
      <c r="D990" s="123"/>
      <c r="E990" s="124"/>
      <c r="F990" s="123"/>
      <c r="G990" s="125"/>
      <c r="H990" s="123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</row>
    <row r="991" spans="1:28" ht="28.5" customHeight="1" x14ac:dyDescent="0.35">
      <c r="A991" s="122"/>
      <c r="B991" s="122"/>
      <c r="C991" s="122"/>
      <c r="D991" s="123"/>
      <c r="E991" s="124"/>
      <c r="F991" s="123"/>
      <c r="G991" s="125"/>
      <c r="H991" s="123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</row>
    <row r="992" spans="1:28" ht="28.5" customHeight="1" x14ac:dyDescent="0.35">
      <c r="A992" s="122"/>
      <c r="B992" s="122"/>
      <c r="C992" s="122"/>
      <c r="D992" s="123"/>
      <c r="E992" s="124"/>
      <c r="F992" s="123"/>
      <c r="G992" s="125"/>
      <c r="H992" s="123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</row>
    <row r="993" spans="1:28" ht="28.5" customHeight="1" x14ac:dyDescent="0.35">
      <c r="A993" s="122"/>
      <c r="B993" s="122"/>
      <c r="C993" s="122"/>
      <c r="D993" s="123"/>
      <c r="E993" s="124"/>
      <c r="F993" s="123"/>
      <c r="G993" s="125"/>
      <c r="H993" s="123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</row>
    <row r="994" spans="1:28" ht="28.5" customHeight="1" x14ac:dyDescent="0.35">
      <c r="A994" s="122"/>
      <c r="B994" s="122"/>
      <c r="C994" s="122"/>
      <c r="D994" s="123"/>
      <c r="E994" s="124"/>
      <c r="F994" s="123"/>
      <c r="G994" s="125"/>
      <c r="H994" s="123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</row>
    <row r="995" spans="1:28" ht="28.5" customHeight="1" x14ac:dyDescent="0.35">
      <c r="A995" s="122"/>
      <c r="B995" s="122"/>
      <c r="C995" s="122"/>
      <c r="D995" s="123"/>
      <c r="E995" s="124"/>
      <c r="F995" s="123"/>
      <c r="G995" s="125"/>
      <c r="H995" s="123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</row>
    <row r="996" spans="1:28" ht="28.5" customHeight="1" x14ac:dyDescent="0.35">
      <c r="A996" s="122"/>
      <c r="B996" s="122"/>
      <c r="C996" s="122"/>
      <c r="D996" s="123"/>
      <c r="E996" s="124"/>
      <c r="F996" s="123"/>
      <c r="G996" s="125"/>
      <c r="H996" s="123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</row>
    <row r="997" spans="1:28" ht="28.5" customHeight="1" x14ac:dyDescent="0.35">
      <c r="A997" s="122"/>
      <c r="B997" s="122"/>
      <c r="C997" s="122"/>
      <c r="D997" s="123"/>
      <c r="E997" s="124"/>
      <c r="F997" s="123"/>
      <c r="G997" s="125"/>
      <c r="H997" s="123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</row>
    <row r="998" spans="1:28" ht="28.5" customHeight="1" x14ac:dyDescent="0.35">
      <c r="A998" s="122"/>
      <c r="B998" s="122"/>
      <c r="C998" s="122"/>
      <c r="D998" s="123"/>
      <c r="E998" s="124"/>
      <c r="F998" s="123"/>
      <c r="G998" s="125"/>
      <c r="H998" s="123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</row>
    <row r="999" spans="1:28" ht="28.5" customHeight="1" x14ac:dyDescent="0.35">
      <c r="A999" s="122"/>
      <c r="B999" s="122"/>
      <c r="C999" s="122"/>
      <c r="D999" s="123"/>
      <c r="E999" s="124"/>
      <c r="F999" s="123"/>
      <c r="G999" s="125"/>
      <c r="H999" s="123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</row>
    <row r="1000" spans="1:28" ht="28.5" customHeight="1" x14ac:dyDescent="0.35">
      <c r="A1000" s="122"/>
      <c r="B1000" s="122"/>
      <c r="C1000" s="122"/>
      <c r="D1000" s="123"/>
      <c r="E1000" s="124"/>
      <c r="F1000" s="123"/>
      <c r="G1000" s="125"/>
      <c r="H1000" s="123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</row>
    <row r="1001" spans="1:28" ht="28.5" customHeight="1" x14ac:dyDescent="0.35">
      <c r="A1001" s="122"/>
      <c r="B1001" s="122"/>
      <c r="C1001" s="122"/>
      <c r="D1001" s="123"/>
      <c r="E1001" s="124"/>
      <c r="F1001" s="123"/>
      <c r="G1001" s="125"/>
      <c r="H1001" s="123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</row>
    <row r="1002" spans="1:28" ht="28.5" customHeight="1" x14ac:dyDescent="0.35">
      <c r="A1002" s="122"/>
      <c r="B1002" s="122"/>
      <c r="C1002" s="122"/>
      <c r="D1002" s="123"/>
      <c r="E1002" s="124"/>
      <c r="F1002" s="123"/>
      <c r="G1002" s="125"/>
      <c r="H1002" s="123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</row>
    <row r="1003" spans="1:28" ht="28.5" customHeight="1" x14ac:dyDescent="0.35">
      <c r="A1003" s="122"/>
      <c r="B1003" s="122"/>
      <c r="C1003" s="122"/>
      <c r="D1003" s="123"/>
      <c r="E1003" s="124"/>
      <c r="F1003" s="123"/>
      <c r="G1003" s="125"/>
      <c r="H1003" s="123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</row>
    <row r="1004" spans="1:28" ht="28.5" customHeight="1" x14ac:dyDescent="0.35">
      <c r="A1004" s="122"/>
      <c r="B1004" s="122"/>
      <c r="C1004" s="122"/>
      <c r="D1004" s="123"/>
      <c r="E1004" s="124"/>
      <c r="F1004" s="123"/>
      <c r="G1004" s="125"/>
      <c r="H1004" s="123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</row>
    <row r="1005" spans="1:28" ht="28.5" customHeight="1" x14ac:dyDescent="0.35">
      <c r="A1005" s="122"/>
      <c r="B1005" s="122"/>
      <c r="C1005" s="122"/>
      <c r="D1005" s="123"/>
      <c r="E1005" s="124"/>
      <c r="F1005" s="123"/>
      <c r="G1005" s="125"/>
      <c r="H1005" s="123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</row>
    <row r="1006" spans="1:28" ht="28.5" customHeight="1" x14ac:dyDescent="0.35">
      <c r="A1006" s="122"/>
      <c r="B1006" s="122"/>
      <c r="C1006" s="122"/>
      <c r="D1006" s="123"/>
      <c r="E1006" s="124"/>
      <c r="F1006" s="123"/>
      <c r="G1006" s="125"/>
      <c r="H1006" s="123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</row>
    <row r="1007" spans="1:28" ht="28.5" customHeight="1" x14ac:dyDescent="0.35">
      <c r="A1007" s="122"/>
      <c r="B1007" s="122"/>
      <c r="C1007" s="122"/>
      <c r="D1007" s="123"/>
      <c r="E1007" s="124"/>
      <c r="F1007" s="123"/>
      <c r="G1007" s="125"/>
      <c r="H1007" s="123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</row>
    <row r="1008" spans="1:28" ht="28.5" customHeight="1" x14ac:dyDescent="0.35">
      <c r="A1008" s="122"/>
      <c r="B1008" s="122"/>
      <c r="C1008" s="122"/>
      <c r="D1008" s="123"/>
      <c r="E1008" s="124"/>
      <c r="F1008" s="123"/>
      <c r="G1008" s="125"/>
      <c r="H1008" s="123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</row>
    <row r="1009" spans="1:28" ht="28.5" customHeight="1" x14ac:dyDescent="0.35">
      <c r="A1009" s="122"/>
      <c r="B1009" s="122"/>
      <c r="C1009" s="122"/>
      <c r="D1009" s="123"/>
      <c r="E1009" s="124"/>
      <c r="F1009" s="123"/>
      <c r="G1009" s="125"/>
      <c r="H1009" s="123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</row>
    <row r="1010" spans="1:28" ht="28.5" customHeight="1" x14ac:dyDescent="0.35">
      <c r="A1010" s="122"/>
      <c r="B1010" s="122"/>
      <c r="C1010" s="122"/>
      <c r="D1010" s="123"/>
      <c r="E1010" s="124"/>
      <c r="F1010" s="123"/>
      <c r="G1010" s="125"/>
      <c r="H1010" s="123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</row>
    <row r="1011" spans="1:28" ht="28.5" customHeight="1" x14ac:dyDescent="0.35">
      <c r="A1011" s="122"/>
      <c r="B1011" s="122"/>
      <c r="C1011" s="122"/>
      <c r="D1011" s="123"/>
      <c r="E1011" s="124"/>
      <c r="F1011" s="123"/>
      <c r="G1011" s="125"/>
      <c r="H1011" s="123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</row>
    <row r="1012" spans="1:28" ht="28.5" customHeight="1" x14ac:dyDescent="0.35">
      <c r="A1012" s="122"/>
      <c r="B1012" s="122"/>
      <c r="C1012" s="122"/>
      <c r="D1012" s="123"/>
      <c r="E1012" s="124"/>
      <c r="F1012" s="123"/>
      <c r="G1012" s="125"/>
      <c r="H1012" s="123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</row>
    <row r="1013" spans="1:28" ht="28.5" customHeight="1" x14ac:dyDescent="0.35">
      <c r="A1013" s="122"/>
      <c r="B1013" s="122"/>
      <c r="C1013" s="122"/>
      <c r="D1013" s="123"/>
      <c r="E1013" s="124"/>
      <c r="F1013" s="123"/>
      <c r="G1013" s="125"/>
      <c r="H1013" s="123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</row>
    <row r="1014" spans="1:28" ht="28.5" customHeight="1" x14ac:dyDescent="0.35">
      <c r="A1014" s="122"/>
      <c r="B1014" s="122"/>
      <c r="C1014" s="122"/>
      <c r="D1014" s="123"/>
      <c r="E1014" s="124"/>
      <c r="F1014" s="123"/>
      <c r="G1014" s="125"/>
      <c r="H1014" s="123"/>
      <c r="I1014" s="122"/>
      <c r="J1014" s="122"/>
      <c r="K1014" s="122"/>
      <c r="L1014" s="122"/>
      <c r="M1014" s="122"/>
      <c r="N1014" s="122"/>
      <c r="O1014" s="122"/>
      <c r="P1014" s="122"/>
      <c r="Q1014" s="122"/>
      <c r="R1014" s="122"/>
      <c r="S1014" s="122"/>
      <c r="T1014" s="122"/>
      <c r="U1014" s="122"/>
      <c r="V1014" s="122"/>
      <c r="W1014" s="122"/>
      <c r="X1014" s="122"/>
      <c r="Y1014" s="122"/>
      <c r="Z1014" s="122"/>
      <c r="AA1014" s="122"/>
      <c r="AB1014" s="122"/>
    </row>
    <row r="1015" spans="1:28" ht="28.5" customHeight="1" x14ac:dyDescent="0.35">
      <c r="A1015" s="122"/>
      <c r="B1015" s="122"/>
      <c r="C1015" s="122"/>
      <c r="D1015" s="123"/>
      <c r="E1015" s="124"/>
      <c r="F1015" s="123"/>
      <c r="G1015" s="125"/>
      <c r="H1015" s="123"/>
      <c r="I1015" s="122"/>
      <c r="J1015" s="122"/>
      <c r="K1015" s="122"/>
      <c r="L1015" s="122"/>
      <c r="M1015" s="122"/>
      <c r="N1015" s="122"/>
      <c r="O1015" s="122"/>
      <c r="P1015" s="122"/>
      <c r="Q1015" s="122"/>
      <c r="R1015" s="122"/>
      <c r="S1015" s="122"/>
      <c r="T1015" s="122"/>
      <c r="U1015" s="122"/>
      <c r="V1015" s="122"/>
      <c r="W1015" s="122"/>
      <c r="X1015" s="122"/>
      <c r="Y1015" s="122"/>
      <c r="Z1015" s="122"/>
      <c r="AA1015" s="122"/>
      <c r="AB1015" s="122"/>
    </row>
    <row r="1016" spans="1:28" ht="28.5" customHeight="1" x14ac:dyDescent="0.35">
      <c r="A1016" s="122"/>
      <c r="B1016" s="122"/>
      <c r="C1016" s="122"/>
      <c r="D1016" s="123"/>
      <c r="E1016" s="124"/>
      <c r="F1016" s="123"/>
      <c r="G1016" s="125"/>
      <c r="H1016" s="123"/>
      <c r="I1016" s="122"/>
      <c r="J1016" s="122"/>
      <c r="K1016" s="122"/>
      <c r="L1016" s="122"/>
      <c r="M1016" s="122"/>
      <c r="N1016" s="122"/>
      <c r="O1016" s="122"/>
      <c r="P1016" s="122"/>
      <c r="Q1016" s="122"/>
      <c r="R1016" s="122"/>
      <c r="S1016" s="122"/>
      <c r="T1016" s="122"/>
      <c r="U1016" s="122"/>
      <c r="V1016" s="122"/>
      <c r="W1016" s="122"/>
      <c r="X1016" s="122"/>
      <c r="Y1016" s="122"/>
      <c r="Z1016" s="122"/>
      <c r="AA1016" s="122"/>
      <c r="AB1016" s="122"/>
    </row>
    <row r="1017" spans="1:28" ht="28.5" customHeight="1" x14ac:dyDescent="0.35">
      <c r="A1017" s="122"/>
      <c r="B1017" s="122"/>
      <c r="C1017" s="122"/>
      <c r="D1017" s="123"/>
      <c r="E1017" s="124"/>
      <c r="F1017" s="123"/>
      <c r="G1017" s="125"/>
      <c r="H1017" s="123"/>
      <c r="I1017" s="122"/>
      <c r="J1017" s="122"/>
      <c r="K1017" s="122"/>
      <c r="L1017" s="122"/>
      <c r="M1017" s="122"/>
      <c r="N1017" s="122"/>
      <c r="O1017" s="122"/>
      <c r="P1017" s="122"/>
      <c r="Q1017" s="122"/>
      <c r="R1017" s="122"/>
      <c r="S1017" s="122"/>
      <c r="T1017" s="122"/>
      <c r="U1017" s="122"/>
      <c r="V1017" s="122"/>
      <c r="W1017" s="122"/>
      <c r="X1017" s="122"/>
      <c r="Y1017" s="122"/>
      <c r="Z1017" s="122"/>
      <c r="AA1017" s="122"/>
      <c r="AB1017" s="122"/>
    </row>
    <row r="1018" spans="1:28" ht="28.5" customHeight="1" x14ac:dyDescent="0.35">
      <c r="A1018" s="122"/>
      <c r="B1018" s="122"/>
      <c r="C1018" s="122"/>
      <c r="D1018" s="123"/>
      <c r="E1018" s="124"/>
      <c r="F1018" s="123"/>
      <c r="G1018" s="125"/>
      <c r="H1018" s="123"/>
      <c r="I1018" s="122"/>
      <c r="J1018" s="122"/>
      <c r="K1018" s="122"/>
      <c r="L1018" s="122"/>
      <c r="M1018" s="122"/>
      <c r="N1018" s="122"/>
      <c r="O1018" s="122"/>
      <c r="P1018" s="122"/>
      <c r="Q1018" s="122"/>
      <c r="R1018" s="122"/>
      <c r="S1018" s="122"/>
      <c r="T1018" s="122"/>
      <c r="U1018" s="122"/>
      <c r="V1018" s="122"/>
      <c r="W1018" s="122"/>
      <c r="X1018" s="122"/>
      <c r="Y1018" s="122"/>
      <c r="Z1018" s="122"/>
      <c r="AA1018" s="122"/>
      <c r="AB1018" s="122"/>
    </row>
    <row r="1019" spans="1:28" ht="28.5" customHeight="1" x14ac:dyDescent="0.35">
      <c r="A1019" s="122"/>
      <c r="B1019" s="122"/>
      <c r="C1019" s="122"/>
      <c r="D1019" s="123"/>
      <c r="E1019" s="124"/>
      <c r="F1019" s="123"/>
      <c r="G1019" s="125"/>
      <c r="H1019" s="123"/>
      <c r="I1019" s="122"/>
      <c r="J1019" s="122"/>
      <c r="K1019" s="122"/>
      <c r="L1019" s="122"/>
      <c r="M1019" s="122"/>
      <c r="N1019" s="122"/>
      <c r="O1019" s="122"/>
      <c r="P1019" s="122"/>
      <c r="Q1019" s="122"/>
      <c r="R1019" s="122"/>
      <c r="S1019" s="122"/>
      <c r="T1019" s="122"/>
      <c r="U1019" s="122"/>
      <c r="V1019" s="122"/>
      <c r="W1019" s="122"/>
      <c r="X1019" s="122"/>
      <c r="Y1019" s="122"/>
      <c r="Z1019" s="122"/>
      <c r="AA1019" s="122"/>
      <c r="AB1019" s="122"/>
    </row>
    <row r="1020" spans="1:28" ht="28.5" customHeight="1" x14ac:dyDescent="0.35">
      <c r="A1020" s="122"/>
      <c r="B1020" s="122"/>
      <c r="C1020" s="122"/>
      <c r="D1020" s="123"/>
      <c r="E1020" s="124"/>
      <c r="F1020" s="123"/>
      <c r="G1020" s="125"/>
      <c r="H1020" s="123"/>
      <c r="I1020" s="122"/>
      <c r="J1020" s="122"/>
      <c r="K1020" s="122"/>
      <c r="L1020" s="122"/>
      <c r="M1020" s="122"/>
      <c r="N1020" s="122"/>
      <c r="O1020" s="122"/>
      <c r="P1020" s="122"/>
      <c r="Q1020" s="122"/>
      <c r="R1020" s="122"/>
      <c r="S1020" s="122"/>
      <c r="T1020" s="122"/>
      <c r="U1020" s="122"/>
      <c r="V1020" s="122"/>
      <c r="W1020" s="122"/>
      <c r="X1020" s="122"/>
      <c r="Y1020" s="122"/>
      <c r="Z1020" s="122"/>
      <c r="AA1020" s="122"/>
      <c r="AB1020" s="122"/>
    </row>
    <row r="1021" spans="1:28" ht="28.5" customHeight="1" x14ac:dyDescent="0.35">
      <c r="A1021" s="122"/>
      <c r="B1021" s="122"/>
      <c r="C1021" s="122"/>
      <c r="D1021" s="123"/>
      <c r="E1021" s="124"/>
      <c r="F1021" s="123"/>
      <c r="G1021" s="125"/>
      <c r="H1021" s="123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  <c r="W1021" s="122"/>
      <c r="X1021" s="122"/>
      <c r="Y1021" s="122"/>
      <c r="Z1021" s="122"/>
      <c r="AA1021" s="122"/>
      <c r="AB1021" s="122"/>
    </row>
    <row r="1022" spans="1:28" ht="28.5" customHeight="1" x14ac:dyDescent="0.35">
      <c r="A1022" s="122"/>
      <c r="B1022" s="122"/>
      <c r="C1022" s="122"/>
      <c r="D1022" s="123"/>
      <c r="E1022" s="124"/>
      <c r="F1022" s="123"/>
      <c r="G1022" s="125"/>
      <c r="H1022" s="123"/>
      <c r="I1022" s="122"/>
      <c r="J1022" s="122"/>
      <c r="K1022" s="122"/>
      <c r="L1022" s="122"/>
      <c r="M1022" s="122"/>
      <c r="N1022" s="122"/>
      <c r="O1022" s="122"/>
      <c r="P1022" s="122"/>
      <c r="Q1022" s="122"/>
      <c r="R1022" s="122"/>
      <c r="S1022" s="122"/>
      <c r="T1022" s="122"/>
      <c r="U1022" s="122"/>
      <c r="V1022" s="122"/>
      <c r="W1022" s="122"/>
      <c r="X1022" s="122"/>
      <c r="Y1022" s="122"/>
      <c r="Z1022" s="122"/>
      <c r="AA1022" s="122"/>
      <c r="AB1022" s="122"/>
    </row>
    <row r="1023" spans="1:28" ht="28.5" customHeight="1" x14ac:dyDescent="0.35">
      <c r="A1023" s="122"/>
      <c r="B1023" s="122"/>
      <c r="C1023" s="122"/>
      <c r="D1023" s="123"/>
      <c r="E1023" s="124"/>
      <c r="F1023" s="123"/>
      <c r="G1023" s="125"/>
      <c r="H1023" s="123"/>
      <c r="I1023" s="122"/>
      <c r="J1023" s="122"/>
      <c r="K1023" s="122"/>
      <c r="L1023" s="122"/>
      <c r="M1023" s="122"/>
      <c r="N1023" s="122"/>
      <c r="O1023" s="122"/>
      <c r="P1023" s="122"/>
      <c r="Q1023" s="122"/>
      <c r="R1023" s="122"/>
      <c r="S1023" s="122"/>
      <c r="T1023" s="122"/>
      <c r="U1023" s="122"/>
      <c r="V1023" s="122"/>
      <c r="W1023" s="122"/>
      <c r="X1023" s="122"/>
      <c r="Y1023" s="122"/>
      <c r="Z1023" s="122"/>
      <c r="AA1023" s="122"/>
      <c r="AB1023" s="122"/>
    </row>
    <row r="1024" spans="1:28" ht="28.5" customHeight="1" x14ac:dyDescent="0.35">
      <c r="A1024" s="122"/>
      <c r="B1024" s="122"/>
      <c r="C1024" s="122"/>
      <c r="D1024" s="123"/>
      <c r="E1024" s="124"/>
      <c r="F1024" s="123"/>
      <c r="G1024" s="125"/>
      <c r="H1024" s="123"/>
      <c r="I1024" s="122"/>
      <c r="J1024" s="122"/>
      <c r="K1024" s="122"/>
      <c r="L1024" s="122"/>
      <c r="M1024" s="122"/>
      <c r="N1024" s="122"/>
      <c r="O1024" s="122"/>
      <c r="P1024" s="122"/>
      <c r="Q1024" s="122"/>
      <c r="R1024" s="122"/>
      <c r="S1024" s="122"/>
      <c r="T1024" s="122"/>
      <c r="U1024" s="122"/>
      <c r="V1024" s="122"/>
      <c r="W1024" s="122"/>
      <c r="X1024" s="122"/>
      <c r="Y1024" s="122"/>
      <c r="Z1024" s="122"/>
      <c r="AA1024" s="122"/>
      <c r="AB1024" s="122"/>
    </row>
    <row r="1025" spans="1:28" ht="28.5" customHeight="1" x14ac:dyDescent="0.35">
      <c r="A1025" s="122"/>
      <c r="B1025" s="122"/>
      <c r="C1025" s="122"/>
      <c r="D1025" s="123"/>
      <c r="E1025" s="124"/>
      <c r="F1025" s="123"/>
      <c r="G1025" s="125"/>
      <c r="H1025" s="123"/>
      <c r="I1025" s="122"/>
      <c r="J1025" s="122"/>
      <c r="K1025" s="122"/>
      <c r="L1025" s="122"/>
      <c r="M1025" s="122"/>
      <c r="N1025" s="122"/>
      <c r="O1025" s="122"/>
      <c r="P1025" s="122"/>
      <c r="Q1025" s="122"/>
      <c r="R1025" s="122"/>
      <c r="S1025" s="122"/>
      <c r="T1025" s="122"/>
      <c r="U1025" s="122"/>
      <c r="V1025" s="122"/>
      <c r="W1025" s="122"/>
      <c r="X1025" s="122"/>
      <c r="Y1025" s="122"/>
      <c r="Z1025" s="122"/>
      <c r="AA1025" s="122"/>
      <c r="AB1025" s="122"/>
    </row>
    <row r="1026" spans="1:28" ht="28.5" customHeight="1" x14ac:dyDescent="0.35">
      <c r="A1026" s="122"/>
      <c r="B1026" s="122"/>
      <c r="C1026" s="122"/>
      <c r="D1026" s="123"/>
      <c r="E1026" s="124"/>
      <c r="F1026" s="123"/>
      <c r="G1026" s="125"/>
      <c r="H1026" s="123"/>
      <c r="I1026" s="122"/>
      <c r="J1026" s="122"/>
      <c r="K1026" s="122"/>
      <c r="L1026" s="122"/>
      <c r="M1026" s="122"/>
      <c r="N1026" s="122"/>
      <c r="O1026" s="122"/>
      <c r="P1026" s="122"/>
      <c r="Q1026" s="122"/>
      <c r="R1026" s="122"/>
      <c r="S1026" s="122"/>
      <c r="T1026" s="122"/>
      <c r="U1026" s="122"/>
      <c r="V1026" s="122"/>
      <c r="W1026" s="122"/>
      <c r="X1026" s="122"/>
      <c r="Y1026" s="122"/>
      <c r="Z1026" s="122"/>
      <c r="AA1026" s="122"/>
      <c r="AB1026" s="122"/>
    </row>
    <row r="1027" spans="1:28" ht="28.5" customHeight="1" x14ac:dyDescent="0.35">
      <c r="A1027" s="122"/>
      <c r="B1027" s="122"/>
      <c r="C1027" s="122"/>
      <c r="D1027" s="123"/>
      <c r="E1027" s="124"/>
      <c r="F1027" s="123"/>
      <c r="G1027" s="125"/>
      <c r="H1027" s="123"/>
      <c r="I1027" s="122"/>
      <c r="J1027" s="122"/>
      <c r="K1027" s="122"/>
      <c r="L1027" s="122"/>
      <c r="M1027" s="122"/>
      <c r="N1027" s="122"/>
      <c r="O1027" s="122"/>
      <c r="P1027" s="122"/>
      <c r="Q1027" s="122"/>
      <c r="R1027" s="122"/>
      <c r="S1027" s="122"/>
      <c r="T1027" s="122"/>
      <c r="U1027" s="122"/>
      <c r="V1027" s="122"/>
      <c r="W1027" s="122"/>
      <c r="X1027" s="122"/>
      <c r="Y1027" s="122"/>
      <c r="Z1027" s="122"/>
      <c r="AA1027" s="122"/>
      <c r="AB1027" s="122"/>
    </row>
    <row r="1028" spans="1:28" ht="28.5" customHeight="1" x14ac:dyDescent="0.35">
      <c r="A1028" s="122"/>
      <c r="B1028" s="122"/>
      <c r="C1028" s="122"/>
      <c r="D1028" s="123"/>
      <c r="E1028" s="124"/>
      <c r="F1028" s="123"/>
      <c r="G1028" s="125"/>
      <c r="H1028" s="123"/>
      <c r="I1028" s="122"/>
      <c r="J1028" s="122"/>
      <c r="K1028" s="122"/>
      <c r="L1028" s="122"/>
      <c r="M1028" s="122"/>
      <c r="N1028" s="122"/>
      <c r="O1028" s="122"/>
      <c r="P1028" s="122"/>
      <c r="Q1028" s="122"/>
      <c r="R1028" s="122"/>
      <c r="S1028" s="122"/>
      <c r="T1028" s="122"/>
      <c r="U1028" s="122"/>
      <c r="V1028" s="122"/>
      <c r="W1028" s="122"/>
      <c r="X1028" s="122"/>
      <c r="Y1028" s="122"/>
      <c r="Z1028" s="122"/>
      <c r="AA1028" s="122"/>
      <c r="AB1028" s="122"/>
    </row>
    <row r="1029" spans="1:28" ht="28.5" customHeight="1" x14ac:dyDescent="0.35">
      <c r="A1029" s="122"/>
      <c r="B1029" s="122"/>
      <c r="C1029" s="122"/>
      <c r="D1029" s="123"/>
      <c r="E1029" s="124"/>
      <c r="F1029" s="123"/>
      <c r="G1029" s="125"/>
      <c r="H1029" s="123"/>
      <c r="I1029" s="122"/>
      <c r="J1029" s="122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  <c r="W1029" s="122"/>
      <c r="X1029" s="122"/>
      <c r="Y1029" s="122"/>
      <c r="Z1029" s="122"/>
      <c r="AA1029" s="122"/>
      <c r="AB1029" s="122"/>
    </row>
    <row r="1030" spans="1:28" ht="28.5" customHeight="1" x14ac:dyDescent="0.35">
      <c r="A1030" s="122"/>
      <c r="B1030" s="122"/>
      <c r="C1030" s="122"/>
      <c r="D1030" s="123"/>
      <c r="E1030" s="124"/>
      <c r="F1030" s="123"/>
      <c r="G1030" s="125"/>
      <c r="H1030" s="123"/>
      <c r="I1030" s="122"/>
      <c r="J1030" s="122"/>
      <c r="K1030" s="122"/>
      <c r="L1030" s="122"/>
      <c r="M1030" s="122"/>
      <c r="N1030" s="122"/>
      <c r="O1030" s="122"/>
      <c r="P1030" s="122"/>
      <c r="Q1030" s="122"/>
      <c r="R1030" s="122"/>
      <c r="S1030" s="122"/>
      <c r="T1030" s="122"/>
      <c r="U1030" s="122"/>
      <c r="V1030" s="122"/>
      <c r="W1030" s="122"/>
      <c r="X1030" s="122"/>
      <c r="Y1030" s="122"/>
      <c r="Z1030" s="122"/>
      <c r="AA1030" s="122"/>
      <c r="AB1030" s="122"/>
    </row>
    <row r="1031" spans="1:28" ht="28.5" customHeight="1" x14ac:dyDescent="0.35">
      <c r="A1031" s="122"/>
      <c r="B1031" s="122"/>
      <c r="C1031" s="122"/>
      <c r="D1031" s="123"/>
      <c r="E1031" s="124"/>
      <c r="F1031" s="123"/>
      <c r="G1031" s="125"/>
      <c r="H1031" s="123"/>
      <c r="I1031" s="122"/>
      <c r="J1031" s="122"/>
      <c r="K1031" s="122"/>
      <c r="L1031" s="122"/>
      <c r="M1031" s="122"/>
      <c r="N1031" s="122"/>
      <c r="O1031" s="122"/>
      <c r="P1031" s="122"/>
      <c r="Q1031" s="122"/>
      <c r="R1031" s="122"/>
      <c r="S1031" s="122"/>
      <c r="T1031" s="122"/>
      <c r="U1031" s="122"/>
      <c r="V1031" s="122"/>
      <c r="W1031" s="122"/>
      <c r="X1031" s="122"/>
      <c r="Y1031" s="122"/>
      <c r="Z1031" s="122"/>
      <c r="AA1031" s="122"/>
      <c r="AB1031" s="122"/>
    </row>
    <row r="1032" spans="1:28" ht="28.5" customHeight="1" x14ac:dyDescent="0.35">
      <c r="A1032" s="122"/>
      <c r="B1032" s="122"/>
      <c r="C1032" s="122"/>
      <c r="D1032" s="123"/>
      <c r="E1032" s="124"/>
      <c r="F1032" s="123"/>
      <c r="G1032" s="125"/>
      <c r="H1032" s="123"/>
      <c r="I1032" s="122"/>
      <c r="J1032" s="122"/>
      <c r="K1032" s="122"/>
      <c r="L1032" s="122"/>
      <c r="M1032" s="122"/>
      <c r="N1032" s="122"/>
      <c r="O1032" s="122"/>
      <c r="P1032" s="122"/>
      <c r="Q1032" s="122"/>
      <c r="R1032" s="122"/>
      <c r="S1032" s="122"/>
      <c r="T1032" s="122"/>
      <c r="U1032" s="122"/>
      <c r="V1032" s="122"/>
      <c r="W1032" s="122"/>
      <c r="X1032" s="122"/>
      <c r="Y1032" s="122"/>
      <c r="Z1032" s="122"/>
      <c r="AA1032" s="122"/>
      <c r="AB1032" s="122"/>
    </row>
    <row r="1033" spans="1:28" ht="28.5" customHeight="1" x14ac:dyDescent="0.35">
      <c r="A1033" s="122"/>
      <c r="B1033" s="122"/>
      <c r="C1033" s="122"/>
      <c r="D1033" s="123"/>
      <c r="E1033" s="124"/>
      <c r="F1033" s="123"/>
      <c r="G1033" s="125"/>
      <c r="H1033" s="123"/>
      <c r="I1033" s="122"/>
      <c r="J1033" s="122"/>
      <c r="K1033" s="122"/>
      <c r="L1033" s="122"/>
      <c r="M1033" s="122"/>
      <c r="N1033" s="122"/>
      <c r="O1033" s="122"/>
      <c r="P1033" s="122"/>
      <c r="Q1033" s="122"/>
      <c r="R1033" s="122"/>
      <c r="S1033" s="122"/>
      <c r="T1033" s="122"/>
      <c r="U1033" s="122"/>
      <c r="V1033" s="122"/>
      <c r="W1033" s="122"/>
      <c r="X1033" s="122"/>
      <c r="Y1033" s="122"/>
      <c r="Z1033" s="122"/>
      <c r="AA1033" s="122"/>
      <c r="AB1033" s="122"/>
    </row>
    <row r="1034" spans="1:28" ht="28.5" customHeight="1" x14ac:dyDescent="0.35">
      <c r="A1034" s="122"/>
      <c r="B1034" s="122"/>
      <c r="C1034" s="122"/>
      <c r="D1034" s="123"/>
      <c r="E1034" s="124"/>
      <c r="F1034" s="123"/>
      <c r="G1034" s="125"/>
      <c r="H1034" s="123"/>
      <c r="I1034" s="122"/>
      <c r="J1034" s="122"/>
      <c r="K1034" s="122"/>
      <c r="L1034" s="122"/>
      <c r="M1034" s="122"/>
      <c r="N1034" s="122"/>
      <c r="O1034" s="122"/>
      <c r="P1034" s="122"/>
      <c r="Q1034" s="122"/>
      <c r="R1034" s="122"/>
      <c r="S1034" s="122"/>
      <c r="T1034" s="122"/>
      <c r="U1034" s="122"/>
      <c r="V1034" s="122"/>
      <c r="W1034" s="122"/>
      <c r="X1034" s="122"/>
      <c r="Y1034" s="122"/>
      <c r="Z1034" s="122"/>
      <c r="AA1034" s="122"/>
      <c r="AB1034" s="122"/>
    </row>
    <row r="1035" spans="1:28" ht="28.5" customHeight="1" x14ac:dyDescent="0.35">
      <c r="A1035" s="122"/>
      <c r="B1035" s="122"/>
      <c r="C1035" s="122"/>
      <c r="D1035" s="123"/>
      <c r="E1035" s="124"/>
      <c r="F1035" s="123"/>
      <c r="G1035" s="125"/>
      <c r="H1035" s="123"/>
      <c r="I1035" s="122"/>
      <c r="J1035" s="122"/>
      <c r="K1035" s="122"/>
      <c r="L1035" s="122"/>
      <c r="M1035" s="122"/>
      <c r="N1035" s="122"/>
      <c r="O1035" s="122"/>
      <c r="P1035" s="122"/>
      <c r="Q1035" s="122"/>
      <c r="R1035" s="122"/>
      <c r="S1035" s="122"/>
      <c r="T1035" s="122"/>
      <c r="U1035" s="122"/>
      <c r="V1035" s="122"/>
      <c r="W1035" s="122"/>
      <c r="X1035" s="122"/>
      <c r="Y1035" s="122"/>
      <c r="Z1035" s="122"/>
      <c r="AA1035" s="122"/>
      <c r="AB1035" s="122"/>
    </row>
    <row r="1036" spans="1:28" ht="28.5" customHeight="1" x14ac:dyDescent="0.35">
      <c r="A1036" s="122"/>
      <c r="B1036" s="122"/>
      <c r="C1036" s="122"/>
      <c r="D1036" s="123"/>
      <c r="E1036" s="124"/>
      <c r="F1036" s="123"/>
      <c r="G1036" s="125"/>
      <c r="H1036" s="123"/>
      <c r="I1036" s="122"/>
      <c r="J1036" s="122"/>
      <c r="K1036" s="122"/>
      <c r="L1036" s="122"/>
      <c r="M1036" s="122"/>
      <c r="N1036" s="122"/>
      <c r="O1036" s="122"/>
      <c r="P1036" s="122"/>
      <c r="Q1036" s="122"/>
      <c r="R1036" s="122"/>
      <c r="S1036" s="122"/>
      <c r="T1036" s="122"/>
      <c r="U1036" s="122"/>
      <c r="V1036" s="122"/>
      <c r="W1036" s="122"/>
      <c r="X1036" s="122"/>
      <c r="Y1036" s="122"/>
      <c r="Z1036" s="122"/>
      <c r="AA1036" s="122"/>
      <c r="AB1036" s="122"/>
    </row>
    <row r="1037" spans="1:28" ht="28.5" customHeight="1" x14ac:dyDescent="0.35">
      <c r="A1037" s="122"/>
      <c r="B1037" s="122"/>
      <c r="C1037" s="122"/>
      <c r="D1037" s="123"/>
      <c r="E1037" s="124"/>
      <c r="F1037" s="123"/>
      <c r="G1037" s="125"/>
      <c r="H1037" s="123"/>
      <c r="I1037" s="122"/>
      <c r="J1037" s="122"/>
      <c r="K1037" s="122"/>
      <c r="L1037" s="122"/>
      <c r="M1037" s="122"/>
      <c r="N1037" s="122"/>
      <c r="O1037" s="122"/>
      <c r="P1037" s="122"/>
      <c r="Q1037" s="122"/>
      <c r="R1037" s="122"/>
      <c r="S1037" s="122"/>
      <c r="T1037" s="122"/>
      <c r="U1037" s="122"/>
      <c r="V1037" s="122"/>
      <c r="W1037" s="122"/>
      <c r="X1037" s="122"/>
      <c r="Y1037" s="122"/>
      <c r="Z1037" s="122"/>
      <c r="AA1037" s="122"/>
      <c r="AB1037" s="122"/>
    </row>
    <row r="1038" spans="1:28" ht="28.5" customHeight="1" x14ac:dyDescent="0.35">
      <c r="A1038" s="122"/>
      <c r="B1038" s="122"/>
      <c r="C1038" s="122"/>
      <c r="D1038" s="123"/>
      <c r="E1038" s="124"/>
      <c r="F1038" s="123"/>
      <c r="G1038" s="125"/>
      <c r="H1038" s="123"/>
      <c r="I1038" s="122"/>
      <c r="J1038" s="122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  <c r="W1038" s="122"/>
      <c r="X1038" s="122"/>
      <c r="Y1038" s="122"/>
      <c r="Z1038" s="122"/>
      <c r="AA1038" s="122"/>
      <c r="AB1038" s="122"/>
    </row>
    <row r="1039" spans="1:28" ht="28.5" customHeight="1" x14ac:dyDescent="0.35">
      <c r="A1039" s="122"/>
      <c r="B1039" s="122"/>
      <c r="C1039" s="122"/>
      <c r="D1039" s="123"/>
      <c r="E1039" s="124"/>
      <c r="F1039" s="123"/>
      <c r="G1039" s="125"/>
      <c r="H1039" s="123"/>
      <c r="I1039" s="122"/>
      <c r="J1039" s="122"/>
      <c r="K1039" s="122"/>
      <c r="L1039" s="122"/>
      <c r="M1039" s="122"/>
      <c r="N1039" s="122"/>
      <c r="O1039" s="122"/>
      <c r="P1039" s="122"/>
      <c r="Q1039" s="122"/>
      <c r="R1039" s="122"/>
      <c r="S1039" s="122"/>
      <c r="T1039" s="122"/>
      <c r="U1039" s="122"/>
      <c r="V1039" s="122"/>
      <c r="W1039" s="122"/>
      <c r="X1039" s="122"/>
      <c r="Y1039" s="122"/>
      <c r="Z1039" s="122"/>
      <c r="AA1039" s="122"/>
      <c r="AB1039" s="122"/>
    </row>
    <row r="1040" spans="1:28" ht="28.5" customHeight="1" x14ac:dyDescent="0.35">
      <c r="A1040" s="122"/>
      <c r="B1040" s="122"/>
      <c r="C1040" s="122"/>
      <c r="D1040" s="123"/>
      <c r="E1040" s="124"/>
      <c r="F1040" s="123"/>
      <c r="G1040" s="125"/>
      <c r="H1040" s="123"/>
      <c r="I1040" s="122"/>
      <c r="J1040" s="122"/>
      <c r="K1040" s="122"/>
      <c r="L1040" s="122"/>
      <c r="M1040" s="122"/>
      <c r="N1040" s="122"/>
      <c r="O1040" s="122"/>
      <c r="P1040" s="122"/>
      <c r="Q1040" s="122"/>
      <c r="R1040" s="122"/>
      <c r="S1040" s="122"/>
      <c r="T1040" s="122"/>
      <c r="U1040" s="122"/>
      <c r="V1040" s="122"/>
      <c r="W1040" s="122"/>
      <c r="X1040" s="122"/>
      <c r="Y1040" s="122"/>
      <c r="Z1040" s="122"/>
      <c r="AA1040" s="122"/>
      <c r="AB1040" s="122"/>
    </row>
    <row r="1041" spans="1:28" ht="28.5" customHeight="1" x14ac:dyDescent="0.35">
      <c r="A1041" s="122"/>
      <c r="B1041" s="122"/>
      <c r="C1041" s="122"/>
      <c r="D1041" s="123"/>
      <c r="E1041" s="124"/>
      <c r="F1041" s="123"/>
      <c r="G1041" s="125"/>
      <c r="H1041" s="123"/>
      <c r="I1041" s="122"/>
      <c r="J1041" s="122"/>
      <c r="K1041" s="122"/>
      <c r="L1041" s="122"/>
      <c r="M1041" s="122"/>
      <c r="N1041" s="122"/>
      <c r="O1041" s="122"/>
      <c r="P1041" s="122"/>
      <c r="Q1041" s="122"/>
      <c r="R1041" s="122"/>
      <c r="S1041" s="122"/>
      <c r="T1041" s="122"/>
      <c r="U1041" s="122"/>
      <c r="V1041" s="122"/>
      <c r="W1041" s="122"/>
      <c r="X1041" s="122"/>
      <c r="Y1041" s="122"/>
      <c r="Z1041" s="122"/>
      <c r="AA1041" s="122"/>
      <c r="AB1041" s="122"/>
    </row>
    <row r="1042" spans="1:28" ht="28.5" customHeight="1" x14ac:dyDescent="0.35">
      <c r="A1042" s="122"/>
      <c r="B1042" s="122"/>
      <c r="C1042" s="122"/>
      <c r="D1042" s="123"/>
      <c r="E1042" s="124"/>
      <c r="F1042" s="123"/>
      <c r="G1042" s="125"/>
      <c r="H1042" s="123"/>
      <c r="I1042" s="122"/>
      <c r="J1042" s="122"/>
      <c r="K1042" s="122"/>
      <c r="L1042" s="122"/>
      <c r="M1042" s="122"/>
      <c r="N1042" s="122"/>
      <c r="O1042" s="122"/>
      <c r="P1042" s="122"/>
      <c r="Q1042" s="122"/>
      <c r="R1042" s="122"/>
      <c r="S1042" s="122"/>
      <c r="T1042" s="122"/>
      <c r="U1042" s="122"/>
      <c r="V1042" s="122"/>
      <c r="W1042" s="122"/>
      <c r="X1042" s="122"/>
      <c r="Y1042" s="122"/>
      <c r="Z1042" s="122"/>
      <c r="AA1042" s="122"/>
      <c r="AB1042" s="122"/>
    </row>
    <row r="1043" spans="1:28" ht="28.5" customHeight="1" x14ac:dyDescent="0.35">
      <c r="A1043" s="122"/>
      <c r="B1043" s="122"/>
      <c r="C1043" s="122"/>
      <c r="D1043" s="123"/>
      <c r="E1043" s="124"/>
      <c r="F1043" s="123"/>
      <c r="G1043" s="125"/>
      <c r="H1043" s="123"/>
      <c r="I1043" s="122"/>
      <c r="J1043" s="122"/>
      <c r="K1043" s="122"/>
      <c r="L1043" s="122"/>
      <c r="M1043" s="122"/>
      <c r="N1043" s="122"/>
      <c r="O1043" s="122"/>
      <c r="P1043" s="122"/>
      <c r="Q1043" s="122"/>
      <c r="R1043" s="122"/>
      <c r="S1043" s="122"/>
      <c r="T1043" s="122"/>
      <c r="U1043" s="122"/>
      <c r="V1043" s="122"/>
      <c r="W1043" s="122"/>
      <c r="X1043" s="122"/>
      <c r="Y1043" s="122"/>
      <c r="Z1043" s="122"/>
      <c r="AA1043" s="122"/>
      <c r="AB1043" s="122"/>
    </row>
    <row r="1044" spans="1:28" ht="28.5" customHeight="1" x14ac:dyDescent="0.35">
      <c r="A1044" s="122"/>
      <c r="B1044" s="122"/>
      <c r="C1044" s="122"/>
      <c r="D1044" s="123"/>
      <c r="E1044" s="124"/>
      <c r="F1044" s="123"/>
      <c r="G1044" s="125"/>
      <c r="H1044" s="123"/>
      <c r="I1044" s="122"/>
      <c r="J1044" s="122"/>
      <c r="K1044" s="122"/>
      <c r="L1044" s="122"/>
      <c r="M1044" s="122"/>
      <c r="N1044" s="122"/>
      <c r="O1044" s="122"/>
      <c r="P1044" s="122"/>
      <c r="Q1044" s="122"/>
      <c r="R1044" s="122"/>
      <c r="S1044" s="122"/>
      <c r="T1044" s="122"/>
      <c r="U1044" s="122"/>
      <c r="V1044" s="122"/>
      <c r="W1044" s="122"/>
      <c r="X1044" s="122"/>
      <c r="Y1044" s="122"/>
      <c r="Z1044" s="122"/>
      <c r="AA1044" s="122"/>
      <c r="AB1044" s="122"/>
    </row>
    <row r="1045" spans="1:28" ht="28.5" customHeight="1" x14ac:dyDescent="0.35">
      <c r="A1045" s="122"/>
      <c r="B1045" s="122"/>
      <c r="C1045" s="122"/>
      <c r="D1045" s="123"/>
      <c r="E1045" s="124"/>
      <c r="F1045" s="123"/>
      <c r="G1045" s="125"/>
      <c r="H1045" s="123"/>
      <c r="I1045" s="122"/>
      <c r="J1045" s="122"/>
      <c r="K1045" s="122"/>
      <c r="L1045" s="122"/>
      <c r="M1045" s="122"/>
      <c r="N1045" s="122"/>
      <c r="O1045" s="122"/>
      <c r="P1045" s="122"/>
      <c r="Q1045" s="122"/>
      <c r="R1045" s="122"/>
      <c r="S1045" s="122"/>
      <c r="T1045" s="122"/>
      <c r="U1045" s="122"/>
      <c r="V1045" s="122"/>
      <c r="W1045" s="122"/>
      <c r="X1045" s="122"/>
      <c r="Y1045" s="122"/>
      <c r="Z1045" s="122"/>
      <c r="AA1045" s="122"/>
      <c r="AB1045" s="122"/>
    </row>
    <row r="1046" spans="1:28" ht="28.5" customHeight="1" x14ac:dyDescent="0.35">
      <c r="A1046" s="122"/>
      <c r="B1046" s="122"/>
      <c r="C1046" s="122"/>
      <c r="D1046" s="123"/>
      <c r="E1046" s="124"/>
      <c r="F1046" s="123"/>
      <c r="G1046" s="125"/>
      <c r="H1046" s="123"/>
      <c r="I1046" s="122"/>
      <c r="J1046" s="122"/>
      <c r="K1046" s="122"/>
      <c r="L1046" s="122"/>
      <c r="M1046" s="122"/>
      <c r="N1046" s="122"/>
      <c r="O1046" s="122"/>
      <c r="P1046" s="122"/>
      <c r="Q1046" s="122"/>
      <c r="R1046" s="122"/>
      <c r="S1046" s="122"/>
      <c r="T1046" s="122"/>
      <c r="U1046" s="122"/>
      <c r="V1046" s="122"/>
      <c r="W1046" s="122"/>
      <c r="X1046" s="122"/>
      <c r="Y1046" s="122"/>
      <c r="Z1046" s="122"/>
      <c r="AA1046" s="122"/>
      <c r="AB1046" s="122"/>
    </row>
    <row r="1047" spans="1:28" ht="28.5" customHeight="1" x14ac:dyDescent="0.35">
      <c r="A1047" s="122"/>
      <c r="B1047" s="122"/>
      <c r="C1047" s="122"/>
      <c r="D1047" s="123"/>
      <c r="E1047" s="124"/>
      <c r="F1047" s="123"/>
      <c r="G1047" s="125"/>
      <c r="H1047" s="123"/>
      <c r="I1047" s="122"/>
      <c r="J1047" s="122"/>
      <c r="K1047" s="122"/>
      <c r="L1047" s="122"/>
      <c r="M1047" s="122"/>
      <c r="N1047" s="122"/>
      <c r="O1047" s="122"/>
      <c r="P1047" s="122"/>
      <c r="Q1047" s="122"/>
      <c r="R1047" s="122"/>
      <c r="S1047" s="122"/>
      <c r="T1047" s="122"/>
      <c r="U1047" s="122"/>
      <c r="V1047" s="122"/>
      <c r="W1047" s="122"/>
      <c r="X1047" s="122"/>
      <c r="Y1047" s="122"/>
      <c r="Z1047" s="122"/>
      <c r="AA1047" s="122"/>
      <c r="AB1047" s="122"/>
    </row>
    <row r="1048" spans="1:28" ht="28.5" customHeight="1" x14ac:dyDescent="0.35">
      <c r="A1048" s="122"/>
      <c r="B1048" s="122"/>
      <c r="C1048" s="122"/>
      <c r="D1048" s="123"/>
      <c r="E1048" s="124"/>
      <c r="F1048" s="123"/>
      <c r="G1048" s="125"/>
      <c r="H1048" s="123"/>
      <c r="I1048" s="122"/>
      <c r="J1048" s="122"/>
      <c r="K1048" s="122"/>
      <c r="L1048" s="122"/>
      <c r="M1048" s="122"/>
      <c r="N1048" s="122"/>
      <c r="O1048" s="122"/>
      <c r="P1048" s="122"/>
      <c r="Q1048" s="122"/>
      <c r="R1048" s="122"/>
      <c r="S1048" s="122"/>
      <c r="T1048" s="122"/>
      <c r="U1048" s="122"/>
      <c r="V1048" s="122"/>
      <c r="W1048" s="122"/>
      <c r="X1048" s="122"/>
      <c r="Y1048" s="122"/>
      <c r="Z1048" s="122"/>
      <c r="AA1048" s="122"/>
      <c r="AB1048" s="122"/>
    </row>
    <row r="1049" spans="1:28" ht="28.5" customHeight="1" x14ac:dyDescent="0.35">
      <c r="A1049" s="122"/>
      <c r="B1049" s="122"/>
      <c r="C1049" s="122"/>
      <c r="D1049" s="123"/>
      <c r="E1049" s="124"/>
      <c r="F1049" s="123"/>
      <c r="G1049" s="125"/>
      <c r="H1049" s="123"/>
      <c r="I1049" s="122"/>
      <c r="J1049" s="122"/>
      <c r="K1049" s="122"/>
      <c r="L1049" s="122"/>
      <c r="M1049" s="122"/>
      <c r="N1049" s="122"/>
      <c r="O1049" s="122"/>
      <c r="P1049" s="122"/>
      <c r="Q1049" s="122"/>
      <c r="R1049" s="122"/>
      <c r="S1049" s="122"/>
      <c r="T1049" s="122"/>
      <c r="U1049" s="122"/>
      <c r="V1049" s="122"/>
      <c r="W1049" s="122"/>
      <c r="X1049" s="122"/>
      <c r="Y1049" s="122"/>
      <c r="Z1049" s="122"/>
      <c r="AA1049" s="122"/>
      <c r="AB1049" s="122"/>
    </row>
    <row r="1050" spans="1:28" ht="28.5" customHeight="1" x14ac:dyDescent="0.35">
      <c r="A1050" s="122"/>
      <c r="B1050" s="122"/>
      <c r="C1050" s="122"/>
      <c r="D1050" s="123"/>
      <c r="E1050" s="124"/>
      <c r="F1050" s="123"/>
      <c r="G1050" s="125"/>
      <c r="H1050" s="123"/>
      <c r="I1050" s="122"/>
      <c r="J1050" s="122"/>
      <c r="K1050" s="122"/>
      <c r="L1050" s="122"/>
      <c r="M1050" s="122"/>
      <c r="N1050" s="122"/>
      <c r="O1050" s="122"/>
      <c r="P1050" s="122"/>
      <c r="Q1050" s="122"/>
      <c r="R1050" s="122"/>
      <c r="S1050" s="122"/>
      <c r="T1050" s="122"/>
      <c r="U1050" s="122"/>
      <c r="V1050" s="122"/>
      <c r="W1050" s="122"/>
      <c r="X1050" s="122"/>
      <c r="Y1050" s="122"/>
      <c r="Z1050" s="122"/>
      <c r="AA1050" s="122"/>
      <c r="AB1050" s="122"/>
    </row>
    <row r="1051" spans="1:28" ht="28.5" customHeight="1" x14ac:dyDescent="0.35">
      <c r="A1051" s="122"/>
      <c r="B1051" s="122"/>
      <c r="C1051" s="122"/>
      <c r="D1051" s="123"/>
      <c r="E1051" s="124"/>
      <c r="F1051" s="123"/>
      <c r="G1051" s="125"/>
      <c r="H1051" s="123"/>
      <c r="I1051" s="122"/>
      <c r="J1051" s="122"/>
      <c r="K1051" s="122"/>
      <c r="L1051" s="122"/>
      <c r="M1051" s="122"/>
      <c r="N1051" s="122"/>
      <c r="O1051" s="122"/>
      <c r="P1051" s="122"/>
      <c r="Q1051" s="122"/>
      <c r="R1051" s="122"/>
      <c r="S1051" s="122"/>
      <c r="T1051" s="122"/>
      <c r="U1051" s="122"/>
      <c r="V1051" s="122"/>
      <c r="W1051" s="122"/>
      <c r="X1051" s="122"/>
      <c r="Y1051" s="122"/>
      <c r="Z1051" s="122"/>
      <c r="AA1051" s="122"/>
      <c r="AB1051" s="122"/>
    </row>
    <row r="1052" spans="1:28" ht="28.5" customHeight="1" x14ac:dyDescent="0.35">
      <c r="A1052" s="122"/>
      <c r="B1052" s="122"/>
      <c r="C1052" s="122"/>
      <c r="D1052" s="123"/>
      <c r="E1052" s="124"/>
      <c r="F1052" s="123"/>
      <c r="G1052" s="125"/>
      <c r="H1052" s="123"/>
      <c r="I1052" s="122"/>
      <c r="J1052" s="122"/>
      <c r="K1052" s="122"/>
      <c r="L1052" s="122"/>
      <c r="M1052" s="122"/>
      <c r="N1052" s="122"/>
      <c r="O1052" s="122"/>
      <c r="P1052" s="122"/>
      <c r="Q1052" s="122"/>
      <c r="R1052" s="122"/>
      <c r="S1052" s="122"/>
      <c r="T1052" s="122"/>
      <c r="U1052" s="122"/>
      <c r="V1052" s="122"/>
      <c r="W1052" s="122"/>
      <c r="X1052" s="122"/>
      <c r="Y1052" s="122"/>
      <c r="Z1052" s="122"/>
      <c r="AA1052" s="122"/>
      <c r="AB1052" s="122"/>
    </row>
    <row r="1053" spans="1:28" ht="28.5" customHeight="1" x14ac:dyDescent="0.35">
      <c r="A1053" s="122"/>
      <c r="B1053" s="122"/>
      <c r="C1053" s="122"/>
      <c r="D1053" s="123"/>
      <c r="E1053" s="124"/>
      <c r="F1053" s="123"/>
      <c r="G1053" s="125"/>
      <c r="H1053" s="123"/>
      <c r="I1053" s="122"/>
      <c r="J1053" s="122"/>
      <c r="K1053" s="122"/>
      <c r="L1053" s="122"/>
      <c r="M1053" s="122"/>
      <c r="N1053" s="122"/>
      <c r="O1053" s="122"/>
      <c r="P1053" s="122"/>
      <c r="Q1053" s="122"/>
      <c r="R1053" s="122"/>
      <c r="S1053" s="122"/>
      <c r="T1053" s="122"/>
      <c r="U1053" s="122"/>
      <c r="V1053" s="122"/>
      <c r="W1053" s="122"/>
      <c r="X1053" s="122"/>
      <c r="Y1053" s="122"/>
      <c r="Z1053" s="122"/>
      <c r="AA1053" s="122"/>
      <c r="AB1053" s="122"/>
    </row>
    <row r="1054" spans="1:28" ht="28.5" customHeight="1" x14ac:dyDescent="0.35">
      <c r="A1054" s="122"/>
      <c r="B1054" s="122"/>
      <c r="C1054" s="122"/>
      <c r="D1054" s="123"/>
      <c r="E1054" s="124"/>
      <c r="F1054" s="123"/>
      <c r="G1054" s="125"/>
      <c r="H1054" s="123"/>
      <c r="I1054" s="122"/>
      <c r="J1054" s="122"/>
      <c r="K1054" s="122"/>
      <c r="L1054" s="122"/>
      <c r="M1054" s="122"/>
      <c r="N1054" s="122"/>
      <c r="O1054" s="122"/>
      <c r="P1054" s="122"/>
      <c r="Q1054" s="122"/>
      <c r="R1054" s="122"/>
      <c r="S1054" s="122"/>
      <c r="T1054" s="122"/>
      <c r="U1054" s="122"/>
      <c r="V1054" s="122"/>
      <c r="W1054" s="122"/>
      <c r="X1054" s="122"/>
      <c r="Y1054" s="122"/>
      <c r="Z1054" s="122"/>
      <c r="AA1054" s="122"/>
      <c r="AB1054" s="122"/>
    </row>
    <row r="1055" spans="1:28" ht="28.5" customHeight="1" x14ac:dyDescent="0.35">
      <c r="A1055" s="122"/>
      <c r="B1055" s="122"/>
      <c r="C1055" s="122"/>
      <c r="D1055" s="123"/>
      <c r="E1055" s="124"/>
      <c r="F1055" s="123"/>
      <c r="G1055" s="125"/>
      <c r="H1055" s="123"/>
      <c r="I1055" s="122"/>
      <c r="J1055" s="122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  <c r="W1055" s="122"/>
      <c r="X1055" s="122"/>
      <c r="Y1055" s="122"/>
      <c r="Z1055" s="122"/>
      <c r="AA1055" s="122"/>
      <c r="AB1055" s="122"/>
    </row>
    <row r="1056" spans="1:28" ht="28.5" customHeight="1" x14ac:dyDescent="0.35">
      <c r="A1056" s="122"/>
      <c r="B1056" s="122"/>
      <c r="C1056" s="122"/>
      <c r="D1056" s="123"/>
      <c r="E1056" s="124"/>
      <c r="F1056" s="123"/>
      <c r="G1056" s="125"/>
      <c r="H1056" s="123"/>
      <c r="I1056" s="122"/>
      <c r="J1056" s="122"/>
      <c r="K1056" s="122"/>
      <c r="L1056" s="122"/>
      <c r="M1056" s="122"/>
      <c r="N1056" s="122"/>
      <c r="O1056" s="122"/>
      <c r="P1056" s="122"/>
      <c r="Q1056" s="122"/>
      <c r="R1056" s="122"/>
      <c r="S1056" s="122"/>
      <c r="T1056" s="122"/>
      <c r="U1056" s="122"/>
      <c r="V1056" s="122"/>
      <c r="W1056" s="122"/>
      <c r="X1056" s="122"/>
      <c r="Y1056" s="122"/>
      <c r="Z1056" s="122"/>
      <c r="AA1056" s="122"/>
      <c r="AB1056" s="122"/>
    </row>
    <row r="1057" spans="1:28" ht="28.5" customHeight="1" x14ac:dyDescent="0.35">
      <c r="A1057" s="122"/>
      <c r="B1057" s="122"/>
      <c r="C1057" s="122"/>
      <c r="D1057" s="123"/>
      <c r="E1057" s="124"/>
      <c r="F1057" s="123"/>
      <c r="G1057" s="125"/>
      <c r="H1057" s="123"/>
      <c r="I1057" s="122"/>
      <c r="J1057" s="122"/>
      <c r="K1057" s="122"/>
      <c r="L1057" s="122"/>
      <c r="M1057" s="122"/>
      <c r="N1057" s="122"/>
      <c r="O1057" s="122"/>
      <c r="P1057" s="122"/>
      <c r="Q1057" s="122"/>
      <c r="R1057" s="122"/>
      <c r="S1057" s="122"/>
      <c r="T1057" s="122"/>
      <c r="U1057" s="122"/>
      <c r="V1057" s="122"/>
      <c r="W1057" s="122"/>
      <c r="X1057" s="122"/>
      <c r="Y1057" s="122"/>
      <c r="Z1057" s="122"/>
      <c r="AA1057" s="122"/>
      <c r="AB1057" s="122"/>
    </row>
    <row r="1058" spans="1:28" ht="28.5" customHeight="1" x14ac:dyDescent="0.35">
      <c r="A1058" s="122"/>
      <c r="B1058" s="122"/>
      <c r="C1058" s="122"/>
      <c r="D1058" s="123"/>
      <c r="E1058" s="124"/>
      <c r="F1058" s="123"/>
      <c r="G1058" s="125"/>
      <c r="H1058" s="123"/>
      <c r="I1058" s="122"/>
      <c r="J1058" s="122"/>
      <c r="K1058" s="122"/>
      <c r="L1058" s="122"/>
      <c r="M1058" s="122"/>
      <c r="N1058" s="122"/>
      <c r="O1058" s="122"/>
      <c r="P1058" s="122"/>
      <c r="Q1058" s="122"/>
      <c r="R1058" s="122"/>
      <c r="S1058" s="122"/>
      <c r="T1058" s="122"/>
      <c r="U1058" s="122"/>
      <c r="V1058" s="122"/>
      <c r="W1058" s="122"/>
      <c r="X1058" s="122"/>
      <c r="Y1058" s="122"/>
      <c r="Z1058" s="122"/>
      <c r="AA1058" s="122"/>
      <c r="AB1058" s="122"/>
    </row>
    <row r="1059" spans="1:28" ht="28.5" customHeight="1" x14ac:dyDescent="0.35">
      <c r="A1059" s="122"/>
      <c r="B1059" s="122"/>
      <c r="C1059" s="122"/>
      <c r="D1059" s="123"/>
      <c r="E1059" s="124"/>
      <c r="F1059" s="123"/>
      <c r="G1059" s="125"/>
      <c r="H1059" s="123"/>
      <c r="I1059" s="122"/>
      <c r="J1059" s="122"/>
      <c r="K1059" s="122"/>
      <c r="L1059" s="122"/>
      <c r="M1059" s="122"/>
      <c r="N1059" s="122"/>
      <c r="O1059" s="122"/>
      <c r="P1059" s="122"/>
      <c r="Q1059" s="122"/>
      <c r="R1059" s="122"/>
      <c r="S1059" s="122"/>
      <c r="T1059" s="122"/>
      <c r="U1059" s="122"/>
      <c r="V1059" s="122"/>
      <c r="W1059" s="122"/>
      <c r="X1059" s="122"/>
      <c r="Y1059" s="122"/>
      <c r="Z1059" s="122"/>
      <c r="AA1059" s="122"/>
      <c r="AB1059" s="122"/>
    </row>
    <row r="1060" spans="1:28" ht="28.5" customHeight="1" x14ac:dyDescent="0.35">
      <c r="A1060" s="122"/>
      <c r="B1060" s="122"/>
      <c r="C1060" s="122"/>
      <c r="D1060" s="123"/>
      <c r="E1060" s="124"/>
      <c r="F1060" s="123"/>
      <c r="G1060" s="125"/>
      <c r="H1060" s="123"/>
      <c r="I1060" s="122"/>
      <c r="J1060" s="122"/>
      <c r="K1060" s="122"/>
      <c r="L1060" s="122"/>
      <c r="M1060" s="122"/>
      <c r="N1060" s="122"/>
      <c r="O1060" s="122"/>
      <c r="P1060" s="122"/>
      <c r="Q1060" s="122"/>
      <c r="R1060" s="122"/>
      <c r="S1060" s="122"/>
      <c r="T1060" s="122"/>
      <c r="U1060" s="122"/>
      <c r="V1060" s="122"/>
      <c r="W1060" s="122"/>
      <c r="X1060" s="122"/>
      <c r="Y1060" s="122"/>
      <c r="Z1060" s="122"/>
      <c r="AA1060" s="122"/>
      <c r="AB1060" s="122"/>
    </row>
    <row r="1061" spans="1:28" ht="28.5" customHeight="1" x14ac:dyDescent="0.35">
      <c r="A1061" s="122"/>
      <c r="B1061" s="122"/>
      <c r="C1061" s="122"/>
      <c r="D1061" s="123"/>
      <c r="E1061" s="124"/>
      <c r="F1061" s="123"/>
      <c r="G1061" s="125"/>
      <c r="H1061" s="123"/>
      <c r="I1061" s="122"/>
      <c r="J1061" s="122"/>
      <c r="K1061" s="122"/>
      <c r="L1061" s="122"/>
      <c r="M1061" s="122"/>
      <c r="N1061" s="122"/>
      <c r="O1061" s="122"/>
      <c r="P1061" s="122"/>
      <c r="Q1061" s="122"/>
      <c r="R1061" s="122"/>
      <c r="S1061" s="122"/>
      <c r="T1061" s="122"/>
      <c r="U1061" s="122"/>
      <c r="V1061" s="122"/>
      <c r="W1061" s="122"/>
      <c r="X1061" s="122"/>
      <c r="Y1061" s="122"/>
      <c r="Z1061" s="122"/>
      <c r="AA1061" s="122"/>
      <c r="AB1061" s="122"/>
    </row>
    <row r="1062" spans="1:28" ht="28.5" customHeight="1" x14ac:dyDescent="0.35">
      <c r="A1062" s="122"/>
      <c r="B1062" s="122"/>
      <c r="C1062" s="122"/>
      <c r="D1062" s="123"/>
      <c r="E1062" s="124"/>
      <c r="F1062" s="123"/>
      <c r="G1062" s="125"/>
      <c r="H1062" s="123"/>
      <c r="I1062" s="122"/>
      <c r="J1062" s="122"/>
      <c r="K1062" s="122"/>
      <c r="L1062" s="122"/>
      <c r="M1062" s="122"/>
      <c r="N1062" s="122"/>
      <c r="O1062" s="122"/>
      <c r="P1062" s="122"/>
      <c r="Q1062" s="122"/>
      <c r="R1062" s="122"/>
      <c r="S1062" s="122"/>
      <c r="T1062" s="122"/>
      <c r="U1062" s="122"/>
      <c r="V1062" s="122"/>
      <c r="W1062" s="122"/>
      <c r="X1062" s="122"/>
      <c r="Y1062" s="122"/>
      <c r="Z1062" s="122"/>
      <c r="AA1062" s="122"/>
      <c r="AB1062" s="122"/>
    </row>
    <row r="1063" spans="1:28" ht="28.5" customHeight="1" x14ac:dyDescent="0.35">
      <c r="A1063" s="122"/>
      <c r="B1063" s="122"/>
      <c r="C1063" s="122"/>
      <c r="D1063" s="123"/>
      <c r="E1063" s="124"/>
      <c r="F1063" s="123"/>
      <c r="G1063" s="125"/>
      <c r="H1063" s="123"/>
      <c r="I1063" s="122"/>
      <c r="J1063" s="122"/>
      <c r="K1063" s="122"/>
      <c r="L1063" s="122"/>
      <c r="M1063" s="122"/>
      <c r="N1063" s="122"/>
      <c r="O1063" s="122"/>
      <c r="P1063" s="122"/>
      <c r="Q1063" s="122"/>
      <c r="R1063" s="122"/>
      <c r="S1063" s="122"/>
      <c r="T1063" s="122"/>
      <c r="U1063" s="122"/>
      <c r="V1063" s="122"/>
      <c r="W1063" s="122"/>
      <c r="X1063" s="122"/>
      <c r="Y1063" s="122"/>
      <c r="Z1063" s="122"/>
      <c r="AA1063" s="122"/>
      <c r="AB1063" s="122"/>
    </row>
    <row r="1064" spans="1:28" ht="28.5" customHeight="1" x14ac:dyDescent="0.35">
      <c r="A1064" s="122"/>
      <c r="B1064" s="122"/>
      <c r="C1064" s="122"/>
      <c r="D1064" s="123"/>
      <c r="E1064" s="124"/>
      <c r="F1064" s="123"/>
      <c r="G1064" s="125"/>
      <c r="H1064" s="123"/>
      <c r="I1064" s="122"/>
      <c r="J1064" s="122"/>
      <c r="K1064" s="122"/>
      <c r="L1064" s="122"/>
      <c r="M1064" s="122"/>
      <c r="N1064" s="122"/>
      <c r="O1064" s="122"/>
      <c r="P1064" s="122"/>
      <c r="Q1064" s="122"/>
      <c r="R1064" s="122"/>
      <c r="S1064" s="122"/>
      <c r="T1064" s="122"/>
      <c r="U1064" s="122"/>
      <c r="V1064" s="122"/>
      <c r="W1064" s="122"/>
      <c r="X1064" s="122"/>
      <c r="Y1064" s="122"/>
      <c r="Z1064" s="122"/>
      <c r="AA1064" s="122"/>
      <c r="AB1064" s="122"/>
    </row>
    <row r="1065" spans="1:28" ht="28.5" customHeight="1" x14ac:dyDescent="0.35">
      <c r="A1065" s="122"/>
      <c r="B1065" s="122"/>
      <c r="C1065" s="122"/>
      <c r="D1065" s="123"/>
      <c r="E1065" s="124"/>
      <c r="F1065" s="123"/>
      <c r="G1065" s="125"/>
      <c r="H1065" s="123"/>
      <c r="I1065" s="122"/>
      <c r="J1065" s="122"/>
      <c r="K1065" s="122"/>
      <c r="L1065" s="122"/>
      <c r="M1065" s="122"/>
      <c r="N1065" s="122"/>
      <c r="O1065" s="122"/>
      <c r="P1065" s="122"/>
      <c r="Q1065" s="122"/>
      <c r="R1065" s="122"/>
      <c r="S1065" s="122"/>
      <c r="T1065" s="122"/>
      <c r="U1065" s="122"/>
      <c r="V1065" s="122"/>
      <c r="W1065" s="122"/>
      <c r="X1065" s="122"/>
      <c r="Y1065" s="122"/>
      <c r="Z1065" s="122"/>
      <c r="AA1065" s="122"/>
      <c r="AB1065" s="122"/>
    </row>
    <row r="1066" spans="1:28" ht="28.5" customHeight="1" x14ac:dyDescent="0.35">
      <c r="A1066" s="122"/>
      <c r="B1066" s="122"/>
      <c r="C1066" s="122"/>
      <c r="D1066" s="123"/>
      <c r="E1066" s="124"/>
      <c r="F1066" s="123"/>
      <c r="G1066" s="125"/>
      <c r="H1066" s="123"/>
      <c r="I1066" s="122"/>
      <c r="J1066" s="122"/>
      <c r="K1066" s="122"/>
      <c r="L1066" s="122"/>
      <c r="M1066" s="122"/>
      <c r="N1066" s="122"/>
      <c r="O1066" s="122"/>
      <c r="P1066" s="122"/>
      <c r="Q1066" s="122"/>
      <c r="R1066" s="122"/>
      <c r="S1066" s="122"/>
      <c r="T1066" s="122"/>
      <c r="U1066" s="122"/>
      <c r="V1066" s="122"/>
      <c r="W1066" s="122"/>
      <c r="X1066" s="122"/>
      <c r="Y1066" s="122"/>
      <c r="Z1066" s="122"/>
      <c r="AA1066" s="122"/>
      <c r="AB1066" s="122"/>
    </row>
    <row r="1067" spans="1:28" ht="28.5" customHeight="1" x14ac:dyDescent="0.35">
      <c r="A1067" s="122"/>
      <c r="B1067" s="122"/>
      <c r="C1067" s="122"/>
      <c r="D1067" s="123"/>
      <c r="E1067" s="124"/>
      <c r="F1067" s="123"/>
      <c r="G1067" s="125"/>
      <c r="H1067" s="123"/>
      <c r="I1067" s="122"/>
      <c r="J1067" s="122"/>
      <c r="K1067" s="122"/>
      <c r="L1067" s="122"/>
      <c r="M1067" s="122"/>
      <c r="N1067" s="122"/>
      <c r="O1067" s="122"/>
      <c r="P1067" s="122"/>
      <c r="Q1067" s="122"/>
      <c r="R1067" s="122"/>
      <c r="S1067" s="122"/>
      <c r="T1067" s="122"/>
      <c r="U1067" s="122"/>
      <c r="V1067" s="122"/>
      <c r="W1067" s="122"/>
      <c r="X1067" s="122"/>
      <c r="Y1067" s="122"/>
      <c r="Z1067" s="122"/>
      <c r="AA1067" s="122"/>
      <c r="AB1067" s="122"/>
    </row>
    <row r="1068" spans="1:28" ht="28.5" customHeight="1" x14ac:dyDescent="0.35">
      <c r="A1068" s="122"/>
      <c r="B1068" s="122"/>
      <c r="C1068" s="122"/>
      <c r="D1068" s="123"/>
      <c r="E1068" s="124"/>
      <c r="F1068" s="123"/>
      <c r="G1068" s="125"/>
      <c r="H1068" s="123"/>
      <c r="I1068" s="122"/>
      <c r="J1068" s="122"/>
      <c r="K1068" s="122"/>
      <c r="L1068" s="122"/>
      <c r="M1068" s="122"/>
      <c r="N1068" s="122"/>
      <c r="O1068" s="122"/>
      <c r="P1068" s="122"/>
      <c r="Q1068" s="122"/>
      <c r="R1068" s="122"/>
      <c r="S1068" s="122"/>
      <c r="T1068" s="122"/>
      <c r="U1068" s="122"/>
      <c r="V1068" s="122"/>
      <c r="W1068" s="122"/>
      <c r="X1068" s="122"/>
      <c r="Y1068" s="122"/>
      <c r="Z1068" s="122"/>
      <c r="AA1068" s="122"/>
      <c r="AB1068" s="122"/>
    </row>
    <row r="1069" spans="1:28" ht="28.5" customHeight="1" x14ac:dyDescent="0.35">
      <c r="A1069" s="122"/>
      <c r="B1069" s="122"/>
      <c r="C1069" s="122"/>
      <c r="D1069" s="123"/>
      <c r="E1069" s="124"/>
      <c r="F1069" s="123"/>
      <c r="G1069" s="125"/>
      <c r="H1069" s="123"/>
      <c r="I1069" s="122"/>
      <c r="J1069" s="122"/>
      <c r="K1069" s="122"/>
      <c r="L1069" s="122"/>
      <c r="M1069" s="122"/>
      <c r="N1069" s="122"/>
      <c r="O1069" s="122"/>
      <c r="P1069" s="122"/>
      <c r="Q1069" s="122"/>
      <c r="R1069" s="122"/>
      <c r="S1069" s="122"/>
      <c r="T1069" s="122"/>
      <c r="U1069" s="122"/>
      <c r="V1069" s="122"/>
      <c r="W1069" s="122"/>
      <c r="X1069" s="122"/>
      <c r="Y1069" s="122"/>
      <c r="Z1069" s="122"/>
      <c r="AA1069" s="122"/>
      <c r="AB1069" s="122"/>
    </row>
    <row r="1070" spans="1:28" ht="28.5" customHeight="1" x14ac:dyDescent="0.35">
      <c r="A1070" s="122"/>
      <c r="B1070" s="122"/>
      <c r="C1070" s="122"/>
      <c r="D1070" s="123"/>
      <c r="E1070" s="124"/>
      <c r="F1070" s="123"/>
      <c r="G1070" s="125"/>
      <c r="H1070" s="123"/>
      <c r="I1070" s="122"/>
      <c r="J1070" s="122"/>
      <c r="K1070" s="122"/>
      <c r="L1070" s="122"/>
      <c r="M1070" s="122"/>
      <c r="N1070" s="122"/>
      <c r="O1070" s="122"/>
      <c r="P1070" s="122"/>
      <c r="Q1070" s="122"/>
      <c r="R1070" s="122"/>
      <c r="S1070" s="122"/>
      <c r="T1070" s="122"/>
      <c r="U1070" s="122"/>
      <c r="V1070" s="122"/>
      <c r="W1070" s="122"/>
      <c r="X1070" s="122"/>
      <c r="Y1070" s="122"/>
      <c r="Z1070" s="122"/>
      <c r="AA1070" s="122"/>
      <c r="AB1070" s="122"/>
    </row>
    <row r="1071" spans="1:28" ht="28.5" customHeight="1" x14ac:dyDescent="0.35">
      <c r="A1071" s="122"/>
      <c r="B1071" s="122"/>
      <c r="C1071" s="122"/>
      <c r="D1071" s="123"/>
      <c r="E1071" s="124"/>
      <c r="F1071" s="123"/>
      <c r="G1071" s="125"/>
      <c r="H1071" s="123"/>
      <c r="I1071" s="122"/>
      <c r="J1071" s="122"/>
      <c r="K1071" s="122"/>
      <c r="L1071" s="122"/>
      <c r="M1071" s="122"/>
      <c r="N1071" s="122"/>
      <c r="O1071" s="122"/>
      <c r="P1071" s="122"/>
      <c r="Q1071" s="122"/>
      <c r="R1071" s="122"/>
      <c r="S1071" s="122"/>
      <c r="T1071" s="122"/>
      <c r="U1071" s="122"/>
      <c r="V1071" s="122"/>
      <c r="W1071" s="122"/>
      <c r="X1071" s="122"/>
      <c r="Y1071" s="122"/>
      <c r="Z1071" s="122"/>
      <c r="AA1071" s="122"/>
      <c r="AB1071" s="122"/>
    </row>
    <row r="1072" spans="1:28" ht="28.5" customHeight="1" x14ac:dyDescent="0.35">
      <c r="A1072" s="122"/>
      <c r="B1072" s="122"/>
      <c r="C1072" s="122"/>
      <c r="D1072" s="123"/>
      <c r="E1072" s="124"/>
      <c r="F1072" s="123"/>
      <c r="G1072" s="125"/>
      <c r="H1072" s="123"/>
      <c r="I1072" s="122"/>
      <c r="J1072" s="122"/>
      <c r="K1072" s="122"/>
      <c r="L1072" s="122"/>
      <c r="M1072" s="122"/>
      <c r="N1072" s="122"/>
      <c r="O1072" s="122"/>
      <c r="P1072" s="122"/>
      <c r="Q1072" s="122"/>
      <c r="R1072" s="122"/>
      <c r="S1072" s="122"/>
      <c r="T1072" s="122"/>
      <c r="U1072" s="122"/>
      <c r="V1072" s="122"/>
      <c r="W1072" s="122"/>
      <c r="X1072" s="122"/>
      <c r="Y1072" s="122"/>
      <c r="Z1072" s="122"/>
      <c r="AA1072" s="122"/>
      <c r="AB1072" s="122"/>
    </row>
    <row r="1073" spans="1:28" ht="28.5" customHeight="1" x14ac:dyDescent="0.35">
      <c r="A1073" s="122"/>
      <c r="B1073" s="122"/>
      <c r="C1073" s="122"/>
      <c r="D1073" s="123"/>
      <c r="E1073" s="124"/>
      <c r="F1073" s="123"/>
      <c r="G1073" s="125"/>
      <c r="H1073" s="123"/>
      <c r="I1073" s="122"/>
      <c r="J1073" s="122"/>
      <c r="K1073" s="122"/>
      <c r="L1073" s="122"/>
      <c r="M1073" s="122"/>
      <c r="N1073" s="122"/>
      <c r="O1073" s="122"/>
      <c r="P1073" s="122"/>
      <c r="Q1073" s="122"/>
      <c r="R1073" s="122"/>
      <c r="S1073" s="122"/>
      <c r="T1073" s="122"/>
      <c r="U1073" s="122"/>
      <c r="V1073" s="122"/>
      <c r="W1073" s="122"/>
      <c r="X1073" s="122"/>
      <c r="Y1073" s="122"/>
      <c r="Z1073" s="122"/>
      <c r="AA1073" s="122"/>
      <c r="AB1073" s="122"/>
    </row>
    <row r="1074" spans="1:28" ht="28.5" customHeight="1" x14ac:dyDescent="0.35">
      <c r="A1074" s="122"/>
      <c r="B1074" s="122"/>
      <c r="C1074" s="122"/>
      <c r="D1074" s="123"/>
      <c r="E1074" s="124"/>
      <c r="F1074" s="123"/>
      <c r="G1074" s="125"/>
      <c r="H1074" s="123"/>
      <c r="I1074" s="122"/>
      <c r="J1074" s="122"/>
      <c r="K1074" s="122"/>
      <c r="L1074" s="122"/>
      <c r="M1074" s="122"/>
      <c r="N1074" s="122"/>
      <c r="O1074" s="122"/>
      <c r="P1074" s="122"/>
      <c r="Q1074" s="122"/>
      <c r="R1074" s="122"/>
      <c r="S1074" s="122"/>
      <c r="T1074" s="122"/>
      <c r="U1074" s="122"/>
      <c r="V1074" s="122"/>
      <c r="W1074" s="122"/>
      <c r="X1074" s="122"/>
      <c r="Y1074" s="122"/>
      <c r="Z1074" s="122"/>
      <c r="AA1074" s="122"/>
      <c r="AB1074" s="122"/>
    </row>
    <row r="1075" spans="1:28" ht="28.5" customHeight="1" x14ac:dyDescent="0.35">
      <c r="A1075" s="122"/>
      <c r="B1075" s="122"/>
      <c r="C1075" s="122"/>
      <c r="D1075" s="123"/>
      <c r="E1075" s="124"/>
      <c r="F1075" s="123"/>
      <c r="G1075" s="125"/>
      <c r="H1075" s="123"/>
      <c r="I1075" s="122"/>
      <c r="J1075" s="122"/>
      <c r="K1075" s="122"/>
      <c r="L1075" s="122"/>
      <c r="M1075" s="122"/>
      <c r="N1075" s="122"/>
      <c r="O1075" s="122"/>
      <c r="P1075" s="122"/>
      <c r="Q1075" s="122"/>
      <c r="R1075" s="122"/>
      <c r="S1075" s="122"/>
      <c r="T1075" s="122"/>
      <c r="U1075" s="122"/>
      <c r="V1075" s="122"/>
      <c r="W1075" s="122"/>
      <c r="X1075" s="122"/>
      <c r="Y1075" s="122"/>
      <c r="Z1075" s="122"/>
      <c r="AA1075" s="122"/>
      <c r="AB1075" s="122"/>
    </row>
    <row r="1076" spans="1:28" ht="28.5" customHeight="1" x14ac:dyDescent="0.35">
      <c r="A1076" s="122"/>
      <c r="B1076" s="122"/>
      <c r="C1076" s="122"/>
      <c r="D1076" s="123"/>
      <c r="E1076" s="124"/>
      <c r="F1076" s="123"/>
      <c r="G1076" s="125"/>
      <c r="H1076" s="123"/>
      <c r="I1076" s="122"/>
      <c r="J1076" s="122"/>
      <c r="K1076" s="122"/>
      <c r="L1076" s="122"/>
      <c r="M1076" s="122"/>
      <c r="N1076" s="122"/>
      <c r="O1076" s="122"/>
      <c r="P1076" s="122"/>
      <c r="Q1076" s="122"/>
      <c r="R1076" s="122"/>
      <c r="S1076" s="122"/>
      <c r="T1076" s="122"/>
      <c r="U1076" s="122"/>
      <c r="V1076" s="122"/>
      <c r="W1076" s="122"/>
      <c r="X1076" s="122"/>
      <c r="Y1076" s="122"/>
      <c r="Z1076" s="122"/>
      <c r="AA1076" s="122"/>
      <c r="AB1076" s="122"/>
    </row>
    <row r="1077" spans="1:28" ht="28.5" customHeight="1" x14ac:dyDescent="0.35">
      <c r="A1077" s="122"/>
      <c r="B1077" s="122"/>
      <c r="C1077" s="122"/>
      <c r="D1077" s="123"/>
      <c r="E1077" s="124"/>
      <c r="F1077" s="123"/>
      <c r="G1077" s="125"/>
      <c r="H1077" s="123"/>
      <c r="I1077" s="122"/>
      <c r="J1077" s="122"/>
      <c r="K1077" s="122"/>
      <c r="L1077" s="122"/>
      <c r="M1077" s="122"/>
      <c r="N1077" s="122"/>
      <c r="O1077" s="122"/>
      <c r="P1077" s="122"/>
      <c r="Q1077" s="122"/>
      <c r="R1077" s="122"/>
      <c r="S1077" s="122"/>
      <c r="T1077" s="122"/>
      <c r="U1077" s="122"/>
      <c r="V1077" s="122"/>
      <c r="W1077" s="122"/>
      <c r="X1077" s="122"/>
      <c r="Y1077" s="122"/>
      <c r="Z1077" s="122"/>
      <c r="AA1077" s="122"/>
      <c r="AB1077" s="122"/>
    </row>
    <row r="1078" spans="1:28" ht="28.5" customHeight="1" x14ac:dyDescent="0.35">
      <c r="A1078" s="122"/>
      <c r="B1078" s="122"/>
      <c r="C1078" s="122"/>
      <c r="D1078" s="123"/>
      <c r="E1078" s="124"/>
      <c r="F1078" s="123"/>
      <c r="G1078" s="125"/>
      <c r="H1078" s="123"/>
      <c r="I1078" s="122"/>
      <c r="J1078" s="122"/>
      <c r="K1078" s="122"/>
      <c r="L1078" s="122"/>
      <c r="M1078" s="122"/>
      <c r="N1078" s="122"/>
      <c r="O1078" s="122"/>
      <c r="P1078" s="122"/>
      <c r="Q1078" s="122"/>
      <c r="R1078" s="122"/>
      <c r="S1078" s="122"/>
      <c r="T1078" s="122"/>
      <c r="U1078" s="122"/>
      <c r="V1078" s="122"/>
      <c r="W1078" s="122"/>
      <c r="X1078" s="122"/>
      <c r="Y1078" s="122"/>
      <c r="Z1078" s="122"/>
      <c r="AA1078" s="122"/>
      <c r="AB1078" s="122"/>
    </row>
    <row r="1079" spans="1:28" ht="28.5" customHeight="1" x14ac:dyDescent="0.35">
      <c r="A1079" s="122"/>
      <c r="B1079" s="122"/>
      <c r="C1079" s="122"/>
      <c r="D1079" s="123"/>
      <c r="E1079" s="124"/>
      <c r="F1079" s="123"/>
      <c r="G1079" s="125"/>
      <c r="H1079" s="123"/>
      <c r="I1079" s="122"/>
      <c r="J1079" s="122"/>
      <c r="K1079" s="122"/>
      <c r="L1079" s="122"/>
      <c r="M1079" s="122"/>
      <c r="N1079" s="122"/>
      <c r="O1079" s="122"/>
      <c r="P1079" s="122"/>
      <c r="Q1079" s="122"/>
      <c r="R1079" s="122"/>
      <c r="S1079" s="122"/>
      <c r="T1079" s="122"/>
      <c r="U1079" s="122"/>
      <c r="V1079" s="122"/>
      <c r="W1079" s="122"/>
      <c r="X1079" s="122"/>
      <c r="Y1079" s="122"/>
      <c r="Z1079" s="122"/>
      <c r="AA1079" s="122"/>
      <c r="AB1079" s="122"/>
    </row>
    <row r="1080" spans="1:28" ht="28.5" customHeight="1" x14ac:dyDescent="0.35">
      <c r="A1080" s="122"/>
      <c r="B1080" s="122"/>
      <c r="C1080" s="122"/>
      <c r="D1080" s="123"/>
      <c r="E1080" s="124"/>
      <c r="F1080" s="123"/>
      <c r="G1080" s="125"/>
      <c r="H1080" s="123"/>
      <c r="I1080" s="122"/>
      <c r="J1080" s="122"/>
      <c r="K1080" s="122"/>
      <c r="L1080" s="122"/>
      <c r="M1080" s="122"/>
      <c r="N1080" s="122"/>
      <c r="O1080" s="122"/>
      <c r="P1080" s="122"/>
      <c r="Q1080" s="122"/>
      <c r="R1080" s="122"/>
      <c r="S1080" s="122"/>
      <c r="T1080" s="122"/>
      <c r="U1080" s="122"/>
      <c r="V1080" s="122"/>
      <c r="W1080" s="122"/>
      <c r="X1080" s="122"/>
      <c r="Y1080" s="122"/>
      <c r="Z1080" s="122"/>
      <c r="AA1080" s="122"/>
      <c r="AB1080" s="122"/>
    </row>
    <row r="1081" spans="1:28" ht="28.5" customHeight="1" x14ac:dyDescent="0.35">
      <c r="A1081" s="122"/>
      <c r="B1081" s="122"/>
      <c r="C1081" s="122"/>
      <c r="D1081" s="123"/>
      <c r="E1081" s="124"/>
      <c r="F1081" s="123"/>
      <c r="G1081" s="125"/>
      <c r="H1081" s="123"/>
      <c r="I1081" s="122"/>
      <c r="J1081" s="122"/>
      <c r="K1081" s="122"/>
      <c r="L1081" s="122"/>
      <c r="M1081" s="122"/>
      <c r="N1081" s="122"/>
      <c r="O1081" s="122"/>
      <c r="P1081" s="122"/>
      <c r="Q1081" s="122"/>
      <c r="R1081" s="122"/>
      <c r="S1081" s="122"/>
      <c r="T1081" s="122"/>
      <c r="U1081" s="122"/>
      <c r="V1081" s="122"/>
      <c r="W1081" s="122"/>
      <c r="X1081" s="122"/>
      <c r="Y1081" s="122"/>
      <c r="Z1081" s="122"/>
      <c r="AA1081" s="122"/>
      <c r="AB1081" s="122"/>
    </row>
    <row r="1082" spans="1:28" ht="28.5" customHeight="1" x14ac:dyDescent="0.35">
      <c r="A1082" s="122"/>
      <c r="B1082" s="122"/>
      <c r="C1082" s="122"/>
      <c r="D1082" s="123"/>
      <c r="E1082" s="124"/>
      <c r="F1082" s="123"/>
      <c r="G1082" s="125"/>
      <c r="H1082" s="123"/>
      <c r="I1082" s="122"/>
      <c r="J1082" s="122"/>
      <c r="K1082" s="122"/>
      <c r="L1082" s="122"/>
      <c r="M1082" s="122"/>
      <c r="N1082" s="122"/>
      <c r="O1082" s="122"/>
      <c r="P1082" s="122"/>
      <c r="Q1082" s="122"/>
      <c r="R1082" s="122"/>
      <c r="S1082" s="122"/>
      <c r="T1082" s="122"/>
      <c r="U1082" s="122"/>
      <c r="V1082" s="122"/>
      <c r="W1082" s="122"/>
      <c r="X1082" s="122"/>
      <c r="Y1082" s="122"/>
      <c r="Z1082" s="122"/>
      <c r="AA1082" s="122"/>
      <c r="AB1082" s="122"/>
    </row>
    <row r="1083" spans="1:28" ht="28.5" customHeight="1" x14ac:dyDescent="0.35">
      <c r="A1083" s="122"/>
      <c r="B1083" s="122"/>
      <c r="C1083" s="122"/>
      <c r="D1083" s="123"/>
      <c r="E1083" s="124"/>
      <c r="F1083" s="123"/>
      <c r="G1083" s="125"/>
      <c r="H1083" s="123"/>
      <c r="I1083" s="122"/>
      <c r="J1083" s="122"/>
      <c r="K1083" s="122"/>
      <c r="L1083" s="122"/>
      <c r="M1083" s="122"/>
      <c r="N1083" s="122"/>
      <c r="O1083" s="122"/>
      <c r="P1083" s="122"/>
      <c r="Q1083" s="122"/>
      <c r="R1083" s="122"/>
      <c r="S1083" s="122"/>
      <c r="T1083" s="122"/>
      <c r="U1083" s="122"/>
      <c r="V1083" s="122"/>
      <c r="W1083" s="122"/>
      <c r="X1083" s="122"/>
      <c r="Y1083" s="122"/>
      <c r="Z1083" s="122"/>
      <c r="AA1083" s="122"/>
      <c r="AB1083" s="122"/>
    </row>
    <row r="1084" spans="1:28" ht="28.5" customHeight="1" x14ac:dyDescent="0.35">
      <c r="A1084" s="122"/>
      <c r="B1084" s="122"/>
      <c r="C1084" s="122"/>
      <c r="D1084" s="123"/>
      <c r="E1084" s="124"/>
      <c r="F1084" s="123"/>
      <c r="G1084" s="125"/>
      <c r="H1084" s="123"/>
      <c r="I1084" s="122"/>
      <c r="J1084" s="122"/>
      <c r="K1084" s="122"/>
      <c r="L1084" s="122"/>
      <c r="M1084" s="122"/>
      <c r="N1084" s="122"/>
      <c r="O1084" s="122"/>
      <c r="P1084" s="122"/>
      <c r="Q1084" s="122"/>
      <c r="R1084" s="122"/>
      <c r="S1084" s="122"/>
      <c r="T1084" s="122"/>
      <c r="U1084" s="122"/>
      <c r="V1084" s="122"/>
      <c r="W1084" s="122"/>
      <c r="X1084" s="122"/>
      <c r="Y1084" s="122"/>
      <c r="Z1084" s="122"/>
      <c r="AA1084" s="122"/>
      <c r="AB1084" s="122"/>
    </row>
    <row r="1085" spans="1:28" ht="28.5" customHeight="1" x14ac:dyDescent="0.35">
      <c r="A1085" s="122"/>
      <c r="B1085" s="122"/>
      <c r="C1085" s="122"/>
      <c r="D1085" s="123"/>
      <c r="E1085" s="124"/>
      <c r="F1085" s="123"/>
      <c r="G1085" s="125"/>
      <c r="H1085" s="123"/>
      <c r="I1085" s="122"/>
      <c r="J1085" s="122"/>
      <c r="K1085" s="122"/>
      <c r="L1085" s="122"/>
      <c r="M1085" s="122"/>
      <c r="N1085" s="122"/>
      <c r="O1085" s="122"/>
      <c r="P1085" s="122"/>
      <c r="Q1085" s="122"/>
      <c r="R1085" s="122"/>
      <c r="S1085" s="122"/>
      <c r="T1085" s="122"/>
      <c r="U1085" s="122"/>
      <c r="V1085" s="122"/>
      <c r="W1085" s="122"/>
      <c r="X1085" s="122"/>
      <c r="Y1085" s="122"/>
      <c r="Z1085" s="122"/>
      <c r="AA1085" s="122"/>
      <c r="AB1085" s="122"/>
    </row>
    <row r="1086" spans="1:28" ht="28.5" customHeight="1" x14ac:dyDescent="0.35">
      <c r="A1086" s="122"/>
      <c r="B1086" s="122"/>
      <c r="C1086" s="122"/>
      <c r="D1086" s="123"/>
      <c r="E1086" s="124"/>
      <c r="F1086" s="123"/>
      <c r="G1086" s="125"/>
      <c r="H1086" s="123"/>
      <c r="I1086" s="122"/>
      <c r="J1086" s="122"/>
      <c r="K1086" s="122"/>
      <c r="L1086" s="122"/>
      <c r="M1086" s="122"/>
      <c r="N1086" s="122"/>
      <c r="O1086" s="122"/>
      <c r="P1086" s="122"/>
      <c r="Q1086" s="122"/>
      <c r="R1086" s="122"/>
      <c r="S1086" s="122"/>
      <c r="T1086" s="122"/>
      <c r="U1086" s="122"/>
      <c r="V1086" s="122"/>
      <c r="W1086" s="122"/>
      <c r="X1086" s="122"/>
      <c r="Y1086" s="122"/>
      <c r="Z1086" s="122"/>
      <c r="AA1086" s="122"/>
      <c r="AB1086" s="122"/>
    </row>
    <row r="1087" spans="1:28" ht="28.5" customHeight="1" x14ac:dyDescent="0.35">
      <c r="A1087" s="122"/>
      <c r="B1087" s="122"/>
      <c r="C1087" s="122"/>
      <c r="D1087" s="123"/>
      <c r="E1087" s="124"/>
      <c r="F1087" s="123"/>
      <c r="G1087" s="125"/>
      <c r="H1087" s="123"/>
      <c r="I1087" s="122"/>
      <c r="J1087" s="122"/>
      <c r="K1087" s="122"/>
      <c r="L1087" s="122"/>
      <c r="M1087" s="122"/>
      <c r="N1087" s="122"/>
      <c r="O1087" s="122"/>
      <c r="P1087" s="122"/>
      <c r="Q1087" s="122"/>
      <c r="R1087" s="122"/>
      <c r="S1087" s="122"/>
      <c r="T1087" s="122"/>
      <c r="U1087" s="122"/>
      <c r="V1087" s="122"/>
      <c r="W1087" s="122"/>
      <c r="X1087" s="122"/>
      <c r="Y1087" s="122"/>
      <c r="Z1087" s="122"/>
      <c r="AA1087" s="122"/>
      <c r="AB1087" s="122"/>
    </row>
    <row r="1088" spans="1:28" ht="28.5" customHeight="1" x14ac:dyDescent="0.35">
      <c r="A1088" s="122"/>
      <c r="B1088" s="122"/>
      <c r="C1088" s="122"/>
      <c r="D1088" s="123"/>
      <c r="E1088" s="124"/>
      <c r="F1088" s="123"/>
      <c r="G1088" s="125"/>
      <c r="H1088" s="123"/>
      <c r="I1088" s="122"/>
      <c r="J1088" s="122"/>
      <c r="K1088" s="122"/>
      <c r="L1088" s="122"/>
      <c r="M1088" s="122"/>
      <c r="N1088" s="122"/>
      <c r="O1088" s="122"/>
      <c r="P1088" s="122"/>
      <c r="Q1088" s="122"/>
      <c r="R1088" s="122"/>
      <c r="S1088" s="122"/>
      <c r="T1088" s="122"/>
      <c r="U1088" s="122"/>
      <c r="V1088" s="122"/>
      <c r="W1088" s="122"/>
      <c r="X1088" s="122"/>
      <c r="Y1088" s="122"/>
      <c r="Z1088" s="122"/>
      <c r="AA1088" s="122"/>
      <c r="AB1088" s="122"/>
    </row>
    <row r="1089" spans="1:28" ht="28.5" customHeight="1" x14ac:dyDescent="0.35">
      <c r="A1089" s="122"/>
      <c r="B1089" s="122"/>
      <c r="C1089" s="122"/>
      <c r="D1089" s="123"/>
      <c r="E1089" s="124"/>
      <c r="F1089" s="123"/>
      <c r="G1089" s="125"/>
      <c r="H1089" s="123"/>
      <c r="I1089" s="122"/>
      <c r="J1089" s="122"/>
      <c r="K1089" s="122"/>
      <c r="L1089" s="122"/>
      <c r="M1089" s="122"/>
      <c r="N1089" s="122"/>
      <c r="O1089" s="122"/>
      <c r="P1089" s="122"/>
      <c r="Q1089" s="122"/>
      <c r="R1089" s="122"/>
      <c r="S1089" s="122"/>
      <c r="T1089" s="122"/>
      <c r="U1089" s="122"/>
      <c r="V1089" s="122"/>
      <c r="W1089" s="122"/>
      <c r="X1089" s="122"/>
      <c r="Y1089" s="122"/>
      <c r="Z1089" s="122"/>
      <c r="AA1089" s="122"/>
      <c r="AB1089" s="122"/>
    </row>
    <row r="1090" spans="1:28" ht="28.5" customHeight="1" x14ac:dyDescent="0.35">
      <c r="A1090" s="122"/>
      <c r="B1090" s="122"/>
      <c r="C1090" s="122"/>
      <c r="D1090" s="123"/>
      <c r="E1090" s="124"/>
      <c r="F1090" s="123"/>
      <c r="G1090" s="125"/>
      <c r="H1090" s="123"/>
      <c r="I1090" s="122"/>
      <c r="J1090" s="122"/>
      <c r="K1090" s="122"/>
      <c r="L1090" s="122"/>
      <c r="M1090" s="122"/>
      <c r="N1090" s="122"/>
      <c r="O1090" s="122"/>
      <c r="P1090" s="122"/>
      <c r="Q1090" s="122"/>
      <c r="R1090" s="122"/>
      <c r="S1090" s="122"/>
      <c r="T1090" s="122"/>
      <c r="U1090" s="122"/>
      <c r="V1090" s="122"/>
      <c r="W1090" s="122"/>
      <c r="X1090" s="122"/>
      <c r="Y1090" s="122"/>
      <c r="Z1090" s="122"/>
      <c r="AA1090" s="122"/>
      <c r="AB1090" s="122"/>
    </row>
    <row r="1091" spans="1:28" ht="28.5" customHeight="1" x14ac:dyDescent="0.35">
      <c r="A1091" s="122"/>
      <c r="B1091" s="122"/>
      <c r="C1091" s="122"/>
      <c r="D1091" s="123"/>
      <c r="E1091" s="124"/>
      <c r="F1091" s="123"/>
      <c r="G1091" s="125"/>
      <c r="H1091" s="123"/>
      <c r="I1091" s="122"/>
      <c r="J1091" s="122"/>
      <c r="K1091" s="122"/>
      <c r="L1091" s="122"/>
      <c r="M1091" s="122"/>
      <c r="N1091" s="122"/>
      <c r="O1091" s="122"/>
      <c r="P1091" s="122"/>
      <c r="Q1091" s="122"/>
      <c r="R1091" s="122"/>
      <c r="S1091" s="122"/>
      <c r="T1091" s="122"/>
      <c r="U1091" s="122"/>
      <c r="V1091" s="122"/>
      <c r="W1091" s="122"/>
      <c r="X1091" s="122"/>
      <c r="Y1091" s="122"/>
      <c r="Z1091" s="122"/>
      <c r="AA1091" s="122"/>
      <c r="AB1091" s="122"/>
    </row>
    <row r="1092" spans="1:28" ht="28.5" customHeight="1" x14ac:dyDescent="0.35">
      <c r="A1092" s="122"/>
      <c r="B1092" s="122"/>
      <c r="C1092" s="122"/>
      <c r="D1092" s="123"/>
      <c r="E1092" s="124"/>
      <c r="F1092" s="123"/>
      <c r="G1092" s="125"/>
      <c r="H1092" s="123"/>
      <c r="I1092" s="122"/>
      <c r="J1092" s="122"/>
      <c r="K1092" s="122"/>
      <c r="L1092" s="122"/>
      <c r="M1092" s="122"/>
      <c r="N1092" s="122"/>
      <c r="O1092" s="122"/>
      <c r="P1092" s="122"/>
      <c r="Q1092" s="122"/>
      <c r="R1092" s="122"/>
      <c r="S1092" s="122"/>
      <c r="T1092" s="122"/>
      <c r="U1092" s="122"/>
      <c r="V1092" s="122"/>
      <c r="W1092" s="122"/>
      <c r="X1092" s="122"/>
      <c r="Y1092" s="122"/>
      <c r="Z1092" s="122"/>
      <c r="AA1092" s="122"/>
      <c r="AB1092" s="122"/>
    </row>
    <row r="1093" spans="1:28" ht="28.5" customHeight="1" x14ac:dyDescent="0.35">
      <c r="A1093" s="122"/>
      <c r="B1093" s="122"/>
      <c r="C1093" s="122"/>
      <c r="D1093" s="123"/>
      <c r="E1093" s="124"/>
      <c r="F1093" s="123"/>
      <c r="G1093" s="125"/>
      <c r="H1093" s="123"/>
      <c r="I1093" s="122"/>
      <c r="J1093" s="122"/>
      <c r="K1093" s="122"/>
      <c r="L1093" s="122"/>
      <c r="M1093" s="122"/>
      <c r="N1093" s="122"/>
      <c r="O1093" s="122"/>
      <c r="P1093" s="122"/>
      <c r="Q1093" s="122"/>
      <c r="R1093" s="122"/>
      <c r="S1093" s="122"/>
      <c r="T1093" s="122"/>
      <c r="U1093" s="122"/>
      <c r="V1093" s="122"/>
      <c r="W1093" s="122"/>
      <c r="X1093" s="122"/>
      <c r="Y1093" s="122"/>
      <c r="Z1093" s="122"/>
      <c r="AA1093" s="122"/>
      <c r="AB1093" s="122"/>
    </row>
    <row r="1094" spans="1:28" ht="28.5" customHeight="1" x14ac:dyDescent="0.35">
      <c r="A1094" s="122"/>
      <c r="B1094" s="122"/>
      <c r="C1094" s="122"/>
      <c r="D1094" s="123"/>
      <c r="E1094" s="124"/>
      <c r="F1094" s="123"/>
      <c r="G1094" s="125"/>
      <c r="H1094" s="123"/>
      <c r="I1094" s="122"/>
      <c r="J1094" s="122"/>
      <c r="K1094" s="122"/>
      <c r="L1094" s="122"/>
      <c r="M1094" s="122"/>
      <c r="N1094" s="122"/>
      <c r="O1094" s="122"/>
      <c r="P1094" s="122"/>
      <c r="Q1094" s="122"/>
      <c r="R1094" s="122"/>
      <c r="S1094" s="122"/>
      <c r="T1094" s="122"/>
      <c r="U1094" s="122"/>
      <c r="V1094" s="122"/>
      <c r="W1094" s="122"/>
      <c r="X1094" s="122"/>
      <c r="Y1094" s="122"/>
      <c r="Z1094" s="122"/>
      <c r="AA1094" s="122"/>
      <c r="AB1094" s="122"/>
    </row>
    <row r="1095" spans="1:28" ht="28.5" customHeight="1" x14ac:dyDescent="0.35">
      <c r="A1095" s="122"/>
      <c r="B1095" s="122"/>
      <c r="C1095" s="122"/>
      <c r="D1095" s="123"/>
      <c r="E1095" s="124"/>
      <c r="F1095" s="123"/>
      <c r="G1095" s="125"/>
      <c r="H1095" s="123"/>
      <c r="I1095" s="122"/>
      <c r="J1095" s="122"/>
      <c r="K1095" s="122"/>
      <c r="L1095" s="122"/>
      <c r="M1095" s="122"/>
      <c r="N1095" s="122"/>
      <c r="O1095" s="122"/>
      <c r="P1095" s="122"/>
      <c r="Q1095" s="122"/>
      <c r="R1095" s="122"/>
      <c r="S1095" s="122"/>
      <c r="T1095" s="122"/>
      <c r="U1095" s="122"/>
      <c r="V1095" s="122"/>
      <c r="W1095" s="122"/>
      <c r="X1095" s="122"/>
      <c r="Y1095" s="122"/>
      <c r="Z1095" s="122"/>
      <c r="AA1095" s="122"/>
      <c r="AB1095" s="122"/>
    </row>
    <row r="1096" spans="1:28" ht="28.5" customHeight="1" x14ac:dyDescent="0.35">
      <c r="A1096" s="122"/>
      <c r="B1096" s="122"/>
      <c r="C1096" s="122"/>
      <c r="D1096" s="123"/>
      <c r="E1096" s="124"/>
      <c r="F1096" s="123"/>
      <c r="G1096" s="125"/>
      <c r="H1096" s="123"/>
      <c r="I1096" s="122"/>
      <c r="J1096" s="122"/>
      <c r="K1096" s="122"/>
      <c r="L1096" s="122"/>
      <c r="M1096" s="122"/>
      <c r="N1096" s="122"/>
      <c r="O1096" s="122"/>
      <c r="P1096" s="122"/>
      <c r="Q1096" s="122"/>
      <c r="R1096" s="122"/>
      <c r="S1096" s="122"/>
      <c r="T1096" s="122"/>
      <c r="U1096" s="122"/>
      <c r="V1096" s="122"/>
      <c r="W1096" s="122"/>
      <c r="X1096" s="122"/>
      <c r="Y1096" s="122"/>
      <c r="Z1096" s="122"/>
      <c r="AA1096" s="122"/>
      <c r="AB1096" s="122"/>
    </row>
    <row r="1097" spans="1:28" ht="28.5" customHeight="1" x14ac:dyDescent="0.35">
      <c r="A1097" s="122"/>
      <c r="B1097" s="122"/>
      <c r="C1097" s="122"/>
      <c r="D1097" s="122"/>
      <c r="E1097" s="126"/>
      <c r="F1097" s="122"/>
      <c r="G1097" s="122"/>
      <c r="H1097" s="122"/>
      <c r="I1097" s="122"/>
      <c r="J1097" s="122"/>
      <c r="K1097" s="122"/>
      <c r="L1097" s="122"/>
      <c r="M1097" s="122"/>
      <c r="N1097" s="122"/>
      <c r="O1097" s="122"/>
      <c r="P1097" s="122"/>
      <c r="Q1097" s="122"/>
      <c r="R1097" s="122"/>
      <c r="S1097" s="122"/>
      <c r="T1097" s="122"/>
      <c r="U1097" s="122"/>
      <c r="V1097" s="122"/>
      <c r="W1097" s="122"/>
      <c r="X1097" s="122"/>
      <c r="Y1097" s="122"/>
      <c r="Z1097" s="122"/>
      <c r="AA1097" s="122"/>
      <c r="AB1097" s="122"/>
    </row>
    <row r="1098" spans="1:28" ht="28.5" customHeight="1" x14ac:dyDescent="0.35">
      <c r="A1098" s="122"/>
      <c r="B1098" s="122"/>
      <c r="C1098" s="122"/>
      <c r="D1098" s="122"/>
      <c r="E1098" s="126"/>
      <c r="F1098" s="122"/>
      <c r="G1098" s="122"/>
      <c r="H1098" s="122"/>
      <c r="I1098" s="122"/>
      <c r="J1098" s="122"/>
      <c r="K1098" s="122"/>
      <c r="L1098" s="122"/>
      <c r="M1098" s="122"/>
      <c r="N1098" s="122"/>
      <c r="O1098" s="122"/>
      <c r="P1098" s="122"/>
      <c r="Q1098" s="122"/>
      <c r="R1098" s="122"/>
      <c r="S1098" s="122"/>
      <c r="T1098" s="122"/>
      <c r="U1098" s="122"/>
      <c r="V1098" s="122"/>
      <c r="W1098" s="122"/>
      <c r="X1098" s="122"/>
      <c r="Y1098" s="122"/>
      <c r="Z1098" s="122"/>
      <c r="AA1098" s="122"/>
      <c r="AB1098" s="122"/>
    </row>
    <row r="1099" spans="1:28" ht="28.5" customHeight="1" x14ac:dyDescent="0.35">
      <c r="A1099" s="122"/>
      <c r="B1099" s="122"/>
      <c r="C1099" s="122"/>
      <c r="D1099" s="122"/>
      <c r="E1099" s="126"/>
      <c r="F1099" s="122"/>
      <c r="G1099" s="122"/>
      <c r="H1099" s="122"/>
      <c r="I1099" s="122"/>
      <c r="J1099" s="122"/>
      <c r="K1099" s="122"/>
      <c r="L1099" s="122"/>
      <c r="M1099" s="122"/>
      <c r="N1099" s="122"/>
      <c r="O1099" s="122"/>
      <c r="P1099" s="122"/>
      <c r="Q1099" s="122"/>
      <c r="R1099" s="122"/>
      <c r="S1099" s="122"/>
      <c r="T1099" s="122"/>
      <c r="U1099" s="122"/>
      <c r="V1099" s="122"/>
      <c r="W1099" s="122"/>
      <c r="X1099" s="122"/>
      <c r="Y1099" s="122"/>
      <c r="Z1099" s="122"/>
      <c r="AA1099" s="122"/>
      <c r="AB1099" s="122"/>
    </row>
    <row r="1100" spans="1:28" ht="28.5" customHeight="1" x14ac:dyDescent="0.35">
      <c r="I1100" s="122"/>
      <c r="J1100" s="122"/>
      <c r="K1100" s="122"/>
      <c r="L1100" s="122"/>
      <c r="M1100" s="122"/>
      <c r="N1100" s="122"/>
      <c r="O1100" s="122"/>
      <c r="P1100" s="122"/>
      <c r="Q1100" s="122"/>
      <c r="R1100" s="122"/>
      <c r="S1100" s="122"/>
      <c r="T1100" s="122"/>
      <c r="U1100" s="122"/>
      <c r="V1100" s="122"/>
      <c r="W1100" s="122"/>
      <c r="X1100" s="122"/>
      <c r="Y1100" s="122"/>
      <c r="Z1100" s="122"/>
      <c r="AA1100" s="122"/>
      <c r="AB1100" s="122"/>
    </row>
    <row r="1101" spans="1:28" ht="28.5" customHeight="1" x14ac:dyDescent="0.35">
      <c r="I1101" s="122"/>
      <c r="J1101" s="122"/>
      <c r="K1101" s="122"/>
      <c r="L1101" s="122"/>
      <c r="M1101" s="122"/>
      <c r="N1101" s="122"/>
      <c r="O1101" s="122"/>
      <c r="P1101" s="122"/>
      <c r="Q1101" s="122"/>
      <c r="R1101" s="122"/>
      <c r="S1101" s="122"/>
      <c r="T1101" s="122"/>
      <c r="U1101" s="122"/>
      <c r="V1101" s="122"/>
      <c r="W1101" s="122"/>
      <c r="X1101" s="122"/>
      <c r="Y1101" s="122"/>
      <c r="Z1101" s="122"/>
      <c r="AA1101" s="122"/>
      <c r="AB1101" s="122"/>
    </row>
  </sheetData>
  <mergeCells count="12">
    <mergeCell ref="L21:M21"/>
    <mergeCell ref="J3:J4"/>
    <mergeCell ref="K3:K4"/>
    <mergeCell ref="L3:P3"/>
    <mergeCell ref="Q3:Q4"/>
    <mergeCell ref="J9:K9"/>
    <mergeCell ref="L15:M15"/>
    <mergeCell ref="L16:M16"/>
    <mergeCell ref="L17:M17"/>
    <mergeCell ref="L18:M18"/>
    <mergeCell ref="L19:M19"/>
    <mergeCell ref="L20:M20"/>
  </mergeCells>
  <hyperlinks>
    <hyperlink ref="H1" location="'Daftar Tabel'!A1" display="&lt;&lt;&lt; Daftar Tabel" xr:uid="{1360E3C4-7BC4-4CFF-87E1-32AE81F6736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14DE-A8A1-4347-A7D7-1844D0A5E88D}">
  <dimension ref="A1:Z997"/>
  <sheetViews>
    <sheetView tabSelected="1" topLeftCell="A23" workbookViewId="0">
      <selection activeCell="E5" sqref="E5"/>
    </sheetView>
  </sheetViews>
  <sheetFormatPr defaultColWidth="14.453125" defaultRowHeight="14.5" x14ac:dyDescent="0.35"/>
  <cols>
    <col min="1" max="1" width="5.453125" customWidth="1"/>
    <col min="2" max="2" width="28" customWidth="1"/>
    <col min="3" max="3" width="25.08984375" customWidth="1"/>
    <col min="4" max="4" width="6.453125" customWidth="1"/>
    <col min="5" max="5" width="13" customWidth="1"/>
    <col min="6" max="6" width="26.54296875" customWidth="1"/>
    <col min="7" max="7" width="13.54296875" customWidth="1"/>
    <col min="8" max="8" width="21.7265625" customWidth="1"/>
    <col min="10" max="26" width="8.81640625" customWidth="1"/>
  </cols>
  <sheetData>
    <row r="1" spans="1:26" ht="14.25" customHeight="1" x14ac:dyDescent="0.35">
      <c r="A1" s="127" t="s">
        <v>0</v>
      </c>
      <c r="B1" s="127"/>
      <c r="C1" s="127"/>
      <c r="D1" s="127"/>
      <c r="E1" s="128"/>
      <c r="F1" s="94"/>
      <c r="G1" s="94"/>
      <c r="H1" s="129" t="s">
        <v>1</v>
      </c>
      <c r="I1" s="130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4.25" customHeight="1" x14ac:dyDescent="0.35">
      <c r="A2" s="127"/>
      <c r="B2" s="127"/>
      <c r="C2" s="127"/>
      <c r="D2" s="127"/>
      <c r="E2" s="128"/>
      <c r="F2" s="94"/>
      <c r="G2" s="127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41.25" customHeight="1" x14ac:dyDescent="0.35">
      <c r="A3" s="131" t="s">
        <v>2</v>
      </c>
      <c r="B3" s="132" t="s">
        <v>3</v>
      </c>
      <c r="C3" s="132" t="s">
        <v>4</v>
      </c>
      <c r="D3" s="132" t="s">
        <v>5</v>
      </c>
      <c r="E3" s="133" t="s">
        <v>6</v>
      </c>
      <c r="F3" s="132" t="s">
        <v>7</v>
      </c>
      <c r="G3" s="132" t="s">
        <v>8</v>
      </c>
      <c r="H3" s="131" t="s">
        <v>10</v>
      </c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spans="1:26" ht="14.25" customHeight="1" x14ac:dyDescent="0.35">
      <c r="A4" s="134">
        <v>1</v>
      </c>
      <c r="B4" s="134">
        <v>2</v>
      </c>
      <c r="C4" s="134">
        <v>3</v>
      </c>
      <c r="D4" s="134">
        <v>4</v>
      </c>
      <c r="E4" s="135">
        <v>5</v>
      </c>
      <c r="F4" s="134">
        <v>6</v>
      </c>
      <c r="G4" s="134">
        <v>7</v>
      </c>
      <c r="H4" s="134">
        <v>8</v>
      </c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75.75" customHeight="1" x14ac:dyDescent="0.35">
      <c r="A5" s="136">
        <v>1</v>
      </c>
      <c r="B5" s="137" t="s">
        <v>1044</v>
      </c>
      <c r="C5" s="137" t="s">
        <v>1045</v>
      </c>
      <c r="D5" s="138">
        <v>2023</v>
      </c>
      <c r="E5" s="139">
        <v>59983000</v>
      </c>
      <c r="F5" s="137" t="s">
        <v>1046</v>
      </c>
      <c r="G5" s="138"/>
      <c r="H5" s="140" t="s">
        <v>17</v>
      </c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84" customHeight="1" x14ac:dyDescent="0.35">
      <c r="A6" s="136">
        <f t="shared" ref="A6:A49" si="0">1+A5</f>
        <v>2</v>
      </c>
      <c r="B6" s="141" t="s">
        <v>1047</v>
      </c>
      <c r="C6" s="137" t="s">
        <v>1048</v>
      </c>
      <c r="D6" s="138">
        <v>2023</v>
      </c>
      <c r="E6" s="139">
        <v>302570500</v>
      </c>
      <c r="F6" s="141" t="s">
        <v>1046</v>
      </c>
      <c r="G6" s="138"/>
      <c r="H6" s="140" t="s">
        <v>17</v>
      </c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70.5" customHeight="1" x14ac:dyDescent="0.35">
      <c r="A7" s="136">
        <f t="shared" si="0"/>
        <v>3</v>
      </c>
      <c r="B7" s="137" t="s">
        <v>1049</v>
      </c>
      <c r="C7" s="137" t="s">
        <v>1050</v>
      </c>
      <c r="D7" s="138">
        <v>2023</v>
      </c>
      <c r="E7" s="139">
        <v>30000000</v>
      </c>
      <c r="F7" s="141" t="s">
        <v>1046</v>
      </c>
      <c r="G7" s="138"/>
      <c r="H7" s="140" t="s">
        <v>17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31.5" customHeight="1" x14ac:dyDescent="0.35">
      <c r="A8" s="136">
        <f t="shared" si="0"/>
        <v>4</v>
      </c>
      <c r="B8" s="137" t="s">
        <v>1051</v>
      </c>
      <c r="C8" s="137" t="s">
        <v>1052</v>
      </c>
      <c r="D8" s="138">
        <v>2023</v>
      </c>
      <c r="E8" s="139">
        <v>238095000</v>
      </c>
      <c r="F8" s="141" t="s">
        <v>1046</v>
      </c>
      <c r="G8" s="138"/>
      <c r="H8" s="140" t="s">
        <v>17</v>
      </c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73.5" customHeight="1" x14ac:dyDescent="0.35">
      <c r="A9" s="136">
        <f t="shared" si="0"/>
        <v>5</v>
      </c>
      <c r="B9" s="137" t="s">
        <v>1053</v>
      </c>
      <c r="C9" s="137" t="s">
        <v>1052</v>
      </c>
      <c r="D9" s="138">
        <v>2023</v>
      </c>
      <c r="E9" s="139">
        <v>837954000</v>
      </c>
      <c r="F9" s="141" t="s">
        <v>1046</v>
      </c>
      <c r="G9" s="138"/>
      <c r="H9" s="140" t="s">
        <v>17</v>
      </c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89.25" customHeight="1" x14ac:dyDescent="0.35">
      <c r="A10" s="136">
        <f t="shared" si="0"/>
        <v>6</v>
      </c>
      <c r="B10" s="137" t="s">
        <v>1054</v>
      </c>
      <c r="C10" s="137" t="s">
        <v>1052</v>
      </c>
      <c r="D10" s="138">
        <v>2023</v>
      </c>
      <c r="E10" s="139">
        <v>191990000</v>
      </c>
      <c r="F10" s="141" t="s">
        <v>1046</v>
      </c>
      <c r="G10" s="138">
        <v>1</v>
      </c>
      <c r="H10" s="140" t="s">
        <v>17</v>
      </c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45.75" customHeight="1" x14ac:dyDescent="0.35">
      <c r="A11" s="136">
        <f t="shared" si="0"/>
        <v>7</v>
      </c>
      <c r="B11" s="137" t="s">
        <v>1055</v>
      </c>
      <c r="C11" s="137" t="s">
        <v>1052</v>
      </c>
      <c r="D11" s="138">
        <v>2023</v>
      </c>
      <c r="E11" s="139">
        <v>55900000</v>
      </c>
      <c r="F11" s="141" t="s">
        <v>1046</v>
      </c>
      <c r="G11" s="138"/>
      <c r="H11" s="140" t="s">
        <v>17</v>
      </c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60.75" customHeight="1" x14ac:dyDescent="0.35">
      <c r="A12" s="136">
        <f t="shared" si="0"/>
        <v>8</v>
      </c>
      <c r="B12" s="137" t="s">
        <v>1056</v>
      </c>
      <c r="C12" s="137" t="s">
        <v>1052</v>
      </c>
      <c r="D12" s="138">
        <v>2023</v>
      </c>
      <c r="E12" s="139">
        <v>45000000</v>
      </c>
      <c r="F12" s="141" t="s">
        <v>1046</v>
      </c>
      <c r="G12" s="138"/>
      <c r="H12" s="140" t="s">
        <v>17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11" customHeight="1" x14ac:dyDescent="0.35">
      <c r="A13" s="136">
        <f t="shared" si="0"/>
        <v>9</v>
      </c>
      <c r="B13" s="137" t="s">
        <v>1057</v>
      </c>
      <c r="C13" s="137" t="s">
        <v>1058</v>
      </c>
      <c r="D13" s="138">
        <v>2023</v>
      </c>
      <c r="E13" s="139">
        <v>462261464</v>
      </c>
      <c r="F13" s="141" t="s">
        <v>1059</v>
      </c>
      <c r="G13" s="138"/>
      <c r="H13" s="140" t="s">
        <v>17</v>
      </c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57.75" customHeight="1" x14ac:dyDescent="0.35">
      <c r="A14" s="136">
        <f t="shared" si="0"/>
        <v>10</v>
      </c>
      <c r="B14" s="137" t="s">
        <v>1060</v>
      </c>
      <c r="C14" s="137" t="s">
        <v>1061</v>
      </c>
      <c r="D14" s="138">
        <v>2023</v>
      </c>
      <c r="E14" s="139">
        <v>195999969</v>
      </c>
      <c r="F14" s="141" t="s">
        <v>1059</v>
      </c>
      <c r="G14" s="138"/>
      <c r="H14" s="140" t="s">
        <v>17</v>
      </c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60.75" customHeight="1" x14ac:dyDescent="0.35">
      <c r="A15" s="136">
        <f t="shared" si="0"/>
        <v>11</v>
      </c>
      <c r="B15" s="137" t="s">
        <v>1062</v>
      </c>
      <c r="C15" s="137" t="s">
        <v>1050</v>
      </c>
      <c r="D15" s="138">
        <v>2023</v>
      </c>
      <c r="E15" s="139">
        <v>54900000</v>
      </c>
      <c r="F15" s="141" t="s">
        <v>1046</v>
      </c>
      <c r="G15" s="138"/>
      <c r="H15" s="140" t="s">
        <v>17</v>
      </c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84.75" customHeight="1" x14ac:dyDescent="0.35">
      <c r="A16" s="136">
        <f t="shared" si="0"/>
        <v>12</v>
      </c>
      <c r="B16" s="137" t="s">
        <v>1063</v>
      </c>
      <c r="C16" s="137" t="s">
        <v>1064</v>
      </c>
      <c r="D16" s="138">
        <v>2023</v>
      </c>
      <c r="E16" s="139">
        <v>1476504065</v>
      </c>
      <c r="F16" s="141" t="s">
        <v>15</v>
      </c>
      <c r="G16" s="138"/>
      <c r="H16" s="140" t="s">
        <v>17</v>
      </c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58.5" customHeight="1" x14ac:dyDescent="0.35">
      <c r="A17" s="136">
        <f t="shared" si="0"/>
        <v>13</v>
      </c>
      <c r="B17" s="137" t="s">
        <v>1065</v>
      </c>
      <c r="C17" s="137" t="s">
        <v>1066</v>
      </c>
      <c r="D17" s="138">
        <v>2023</v>
      </c>
      <c r="E17" s="139">
        <v>644534000</v>
      </c>
      <c r="F17" s="141" t="s">
        <v>1046</v>
      </c>
      <c r="G17" s="138"/>
      <c r="H17" s="140" t="s">
        <v>17</v>
      </c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87.75" customHeight="1" x14ac:dyDescent="0.35">
      <c r="A18" s="136">
        <f t="shared" si="0"/>
        <v>14</v>
      </c>
      <c r="B18" s="137" t="s">
        <v>1067</v>
      </c>
      <c r="C18" s="137" t="s">
        <v>1058</v>
      </c>
      <c r="D18" s="138">
        <v>2023</v>
      </c>
      <c r="E18" s="139">
        <v>120900000</v>
      </c>
      <c r="F18" s="141" t="s">
        <v>1046</v>
      </c>
      <c r="G18" s="138"/>
      <c r="H18" s="140" t="s">
        <v>17</v>
      </c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83.25" customHeight="1" x14ac:dyDescent="0.35">
      <c r="A19" s="136">
        <f t="shared" si="0"/>
        <v>15</v>
      </c>
      <c r="B19" s="137" t="s">
        <v>1068</v>
      </c>
      <c r="C19" s="137" t="s">
        <v>1069</v>
      </c>
      <c r="D19" s="138">
        <v>2023</v>
      </c>
      <c r="E19" s="139">
        <v>27000000</v>
      </c>
      <c r="F19" s="141" t="s">
        <v>1046</v>
      </c>
      <c r="G19" s="138"/>
      <c r="H19" s="140" t="s">
        <v>17</v>
      </c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00.5" customHeight="1" x14ac:dyDescent="0.35">
      <c r="A20" s="136">
        <f t="shared" si="0"/>
        <v>16</v>
      </c>
      <c r="B20" s="141" t="s">
        <v>1070</v>
      </c>
      <c r="C20" s="137" t="s">
        <v>1064</v>
      </c>
      <c r="D20" s="138">
        <v>2023</v>
      </c>
      <c r="E20" s="139">
        <v>127200000</v>
      </c>
      <c r="F20" s="141" t="s">
        <v>15</v>
      </c>
      <c r="G20" s="138"/>
      <c r="H20" s="140" t="s">
        <v>17</v>
      </c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86.25" customHeight="1" x14ac:dyDescent="0.35">
      <c r="A21" s="136">
        <f t="shared" si="0"/>
        <v>17</v>
      </c>
      <c r="B21" s="141" t="s">
        <v>1063</v>
      </c>
      <c r="C21" s="137" t="s">
        <v>1064</v>
      </c>
      <c r="D21" s="138">
        <v>2023</v>
      </c>
      <c r="E21" s="139">
        <v>1476504065</v>
      </c>
      <c r="F21" s="141" t="s">
        <v>15</v>
      </c>
      <c r="G21" s="138"/>
      <c r="H21" s="140" t="s">
        <v>17</v>
      </c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73.5" customHeight="1" x14ac:dyDescent="0.35">
      <c r="A22" s="136">
        <f t="shared" si="0"/>
        <v>18</v>
      </c>
      <c r="B22" s="141" t="s">
        <v>1071</v>
      </c>
      <c r="C22" s="137" t="s">
        <v>1064</v>
      </c>
      <c r="D22" s="138">
        <v>2023</v>
      </c>
      <c r="E22" s="139">
        <v>127200000</v>
      </c>
      <c r="F22" s="141" t="s">
        <v>1046</v>
      </c>
      <c r="G22" s="138"/>
      <c r="H22" s="140" t="s">
        <v>17</v>
      </c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01.5" x14ac:dyDescent="0.35">
      <c r="A23" s="136">
        <f t="shared" si="0"/>
        <v>19</v>
      </c>
      <c r="B23" s="141" t="s">
        <v>1072</v>
      </c>
      <c r="C23" s="137" t="s">
        <v>1073</v>
      </c>
      <c r="D23" s="138">
        <v>2024</v>
      </c>
      <c r="E23" s="139">
        <v>135600000</v>
      </c>
      <c r="F23" s="141" t="s">
        <v>1074</v>
      </c>
      <c r="G23" s="138"/>
      <c r="H23" s="140" t="s">
        <v>17</v>
      </c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58" x14ac:dyDescent="0.35">
      <c r="A24" s="136">
        <f t="shared" si="0"/>
        <v>20</v>
      </c>
      <c r="B24" s="141" t="s">
        <v>1075</v>
      </c>
      <c r="C24" s="137" t="s">
        <v>1076</v>
      </c>
      <c r="D24" s="138">
        <v>2024</v>
      </c>
      <c r="E24" s="139">
        <v>129560000</v>
      </c>
      <c r="F24" s="141" t="s">
        <v>1077</v>
      </c>
      <c r="G24" s="138"/>
      <c r="H24" s="140" t="s">
        <v>17</v>
      </c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72.5" x14ac:dyDescent="0.35">
      <c r="A25" s="136">
        <f t="shared" si="0"/>
        <v>21</v>
      </c>
      <c r="B25" s="141" t="s">
        <v>1078</v>
      </c>
      <c r="C25" s="137" t="s">
        <v>1079</v>
      </c>
      <c r="D25" s="138">
        <v>2024</v>
      </c>
      <c r="E25" s="139">
        <v>132380000</v>
      </c>
      <c r="F25" s="141" t="s">
        <v>1080</v>
      </c>
      <c r="G25" s="138"/>
      <c r="H25" s="140" t="s">
        <v>17</v>
      </c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43.5" x14ac:dyDescent="0.35">
      <c r="A26" s="136">
        <f t="shared" si="0"/>
        <v>22</v>
      </c>
      <c r="B26" s="141" t="s">
        <v>1081</v>
      </c>
      <c r="C26" s="137" t="s">
        <v>1082</v>
      </c>
      <c r="D26" s="138">
        <v>2024</v>
      </c>
      <c r="E26" s="139">
        <v>110000000</v>
      </c>
      <c r="F26" s="141" t="s">
        <v>1083</v>
      </c>
      <c r="G26" s="138"/>
      <c r="H26" s="140" t="s">
        <v>17</v>
      </c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72.5" x14ac:dyDescent="0.35">
      <c r="A27" s="136">
        <f t="shared" si="0"/>
        <v>23</v>
      </c>
      <c r="B27" s="141" t="s">
        <v>1084</v>
      </c>
      <c r="C27" s="137" t="s">
        <v>1064</v>
      </c>
      <c r="D27" s="138">
        <v>2024</v>
      </c>
      <c r="E27" s="139">
        <v>118000000</v>
      </c>
      <c r="F27" s="141" t="s">
        <v>1085</v>
      </c>
      <c r="G27" s="138"/>
      <c r="H27" s="140" t="s">
        <v>17</v>
      </c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72.5" x14ac:dyDescent="0.35">
      <c r="A28" s="136">
        <f t="shared" si="0"/>
        <v>24</v>
      </c>
      <c r="B28" s="141" t="s">
        <v>1086</v>
      </c>
      <c r="C28" s="137" t="s">
        <v>1064</v>
      </c>
      <c r="D28" s="138">
        <v>2024</v>
      </c>
      <c r="E28" s="139">
        <v>49000000</v>
      </c>
      <c r="F28" s="141" t="s">
        <v>1087</v>
      </c>
      <c r="G28" s="138"/>
      <c r="H28" s="140" t="s">
        <v>17</v>
      </c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58" x14ac:dyDescent="0.35">
      <c r="A29" s="136">
        <f t="shared" si="0"/>
        <v>25</v>
      </c>
      <c r="B29" s="141" t="s">
        <v>1088</v>
      </c>
      <c r="C29" s="137" t="s">
        <v>1089</v>
      </c>
      <c r="D29" s="138">
        <v>2024</v>
      </c>
      <c r="E29" s="139">
        <v>253930000</v>
      </c>
      <c r="F29" s="141" t="s">
        <v>1090</v>
      </c>
      <c r="G29" s="138"/>
      <c r="H29" s="140" t="s">
        <v>17</v>
      </c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01.5" x14ac:dyDescent="0.35">
      <c r="A30" s="136">
        <f t="shared" si="0"/>
        <v>26</v>
      </c>
      <c r="B30" s="141" t="s">
        <v>1091</v>
      </c>
      <c r="C30" s="137" t="s">
        <v>1092</v>
      </c>
      <c r="D30" s="138">
        <v>2024</v>
      </c>
      <c r="E30" s="139">
        <v>45000000</v>
      </c>
      <c r="F30" s="141" t="s">
        <v>1093</v>
      </c>
      <c r="G30" s="138"/>
      <c r="H30" s="140" t="s">
        <v>17</v>
      </c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43.5" x14ac:dyDescent="0.35">
      <c r="A31" s="136">
        <f t="shared" si="0"/>
        <v>27</v>
      </c>
      <c r="B31" s="141" t="s">
        <v>1094</v>
      </c>
      <c r="C31" s="137" t="s">
        <v>1095</v>
      </c>
      <c r="D31" s="138">
        <v>2024</v>
      </c>
      <c r="E31" s="139">
        <v>17730000</v>
      </c>
      <c r="F31" s="141" t="s">
        <v>1096</v>
      </c>
      <c r="G31" s="138"/>
      <c r="H31" s="140" t="s">
        <v>17</v>
      </c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58" x14ac:dyDescent="0.35">
      <c r="A32" s="136">
        <f t="shared" si="0"/>
        <v>28</v>
      </c>
      <c r="B32" s="141" t="s">
        <v>1097</v>
      </c>
      <c r="C32" s="137" t="s">
        <v>1098</v>
      </c>
      <c r="D32" s="138">
        <v>2024</v>
      </c>
      <c r="E32" s="139">
        <v>30000000</v>
      </c>
      <c r="F32" s="141" t="s">
        <v>1099</v>
      </c>
      <c r="G32" s="138"/>
      <c r="H32" s="140" t="s">
        <v>17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58" x14ac:dyDescent="0.35">
      <c r="A33" s="136">
        <f t="shared" si="0"/>
        <v>29</v>
      </c>
      <c r="B33" s="141" t="s">
        <v>1100</v>
      </c>
      <c r="C33" s="137" t="s">
        <v>1098</v>
      </c>
      <c r="D33" s="138">
        <v>2024</v>
      </c>
      <c r="E33" s="139">
        <v>56520000</v>
      </c>
      <c r="F33" s="141" t="s">
        <v>1101</v>
      </c>
      <c r="G33" s="138"/>
      <c r="H33" s="140" t="s">
        <v>17</v>
      </c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01.5" x14ac:dyDescent="0.35">
      <c r="A34" s="136">
        <f t="shared" si="0"/>
        <v>30</v>
      </c>
      <c r="B34" s="141" t="s">
        <v>1102</v>
      </c>
      <c r="C34" s="137" t="s">
        <v>1103</v>
      </c>
      <c r="D34" s="138">
        <v>2024</v>
      </c>
      <c r="E34" s="139">
        <v>101000000</v>
      </c>
      <c r="F34" s="141" t="s">
        <v>1104</v>
      </c>
      <c r="G34" s="138"/>
      <c r="H34" s="140" t="s">
        <v>17</v>
      </c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58" x14ac:dyDescent="0.35">
      <c r="A35" s="136">
        <f t="shared" si="0"/>
        <v>31</v>
      </c>
      <c r="B35" s="141" t="s">
        <v>1105</v>
      </c>
      <c r="C35" s="137" t="s">
        <v>1106</v>
      </c>
      <c r="D35" s="138">
        <v>2024</v>
      </c>
      <c r="E35" s="139">
        <v>55150000</v>
      </c>
      <c r="F35" s="141" t="s">
        <v>1107</v>
      </c>
      <c r="G35" s="138"/>
      <c r="H35" s="140" t="s">
        <v>17</v>
      </c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30.5" x14ac:dyDescent="0.35">
      <c r="A36" s="136">
        <f t="shared" si="0"/>
        <v>32</v>
      </c>
      <c r="B36" s="141" t="s">
        <v>1108</v>
      </c>
      <c r="C36" s="137" t="s">
        <v>1058</v>
      </c>
      <c r="D36" s="138">
        <v>2024</v>
      </c>
      <c r="E36" s="139">
        <v>566824500</v>
      </c>
      <c r="F36" s="141" t="s">
        <v>1083</v>
      </c>
      <c r="G36" s="138"/>
      <c r="H36" s="140" t="s">
        <v>17</v>
      </c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ht="43.5" x14ac:dyDescent="0.35">
      <c r="A37" s="136">
        <f t="shared" si="0"/>
        <v>33</v>
      </c>
      <c r="B37" s="141" t="s">
        <v>1109</v>
      </c>
      <c r="C37" s="137" t="s">
        <v>1058</v>
      </c>
      <c r="D37" s="138">
        <v>2024</v>
      </c>
      <c r="E37" s="139">
        <v>137500000</v>
      </c>
      <c r="F37" s="141" t="s">
        <v>1110</v>
      </c>
      <c r="G37" s="138"/>
      <c r="H37" s="140" t="s">
        <v>17</v>
      </c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87" x14ac:dyDescent="0.35">
      <c r="A38" s="136">
        <f t="shared" si="0"/>
        <v>34</v>
      </c>
      <c r="B38" s="141" t="s">
        <v>1111</v>
      </c>
      <c r="C38" s="137" t="s">
        <v>1058</v>
      </c>
      <c r="D38" s="138">
        <v>2024</v>
      </c>
      <c r="E38" s="139">
        <v>35000000</v>
      </c>
      <c r="F38" s="141" t="s">
        <v>1101</v>
      </c>
      <c r="G38" s="138"/>
      <c r="H38" s="140" t="s">
        <v>17</v>
      </c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87" x14ac:dyDescent="0.35">
      <c r="A39" s="136">
        <f t="shared" si="0"/>
        <v>35</v>
      </c>
      <c r="B39" s="141" t="s">
        <v>1112</v>
      </c>
      <c r="C39" s="137" t="s">
        <v>1058</v>
      </c>
      <c r="D39" s="138">
        <v>2024</v>
      </c>
      <c r="E39" s="139">
        <v>28640000</v>
      </c>
      <c r="F39" s="141" t="s">
        <v>1101</v>
      </c>
      <c r="G39" s="138"/>
      <c r="H39" s="140" t="s">
        <v>17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87" x14ac:dyDescent="0.35">
      <c r="A40" s="136">
        <f t="shared" si="0"/>
        <v>36</v>
      </c>
      <c r="B40" s="141" t="s">
        <v>1113</v>
      </c>
      <c r="C40" s="137" t="s">
        <v>1114</v>
      </c>
      <c r="D40" s="138">
        <v>2024</v>
      </c>
      <c r="E40" s="139">
        <v>83980000</v>
      </c>
      <c r="F40" s="141" t="s">
        <v>1077</v>
      </c>
      <c r="G40" s="138"/>
      <c r="H40" s="140" t="s">
        <v>17</v>
      </c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16" x14ac:dyDescent="0.35">
      <c r="A41" s="136">
        <f t="shared" si="0"/>
        <v>37</v>
      </c>
      <c r="B41" s="141" t="s">
        <v>1115</v>
      </c>
      <c r="C41" s="137" t="s">
        <v>1116</v>
      </c>
      <c r="D41" s="138">
        <v>2024</v>
      </c>
      <c r="E41" s="139">
        <v>48000000</v>
      </c>
      <c r="F41" s="141" t="s">
        <v>1117</v>
      </c>
      <c r="G41" s="138"/>
      <c r="H41" s="140" t="s">
        <v>17</v>
      </c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29" x14ac:dyDescent="0.35">
      <c r="A42" s="136">
        <f t="shared" si="0"/>
        <v>38</v>
      </c>
      <c r="B42" s="141" t="s">
        <v>1118</v>
      </c>
      <c r="C42" s="137" t="s">
        <v>1061</v>
      </c>
      <c r="D42" s="138">
        <v>2024</v>
      </c>
      <c r="E42" s="139">
        <v>945681858</v>
      </c>
      <c r="F42" s="141" t="s">
        <v>1083</v>
      </c>
      <c r="G42" s="138"/>
      <c r="H42" s="140" t="s">
        <v>17</v>
      </c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58" x14ac:dyDescent="0.35">
      <c r="A43" s="136">
        <f t="shared" si="0"/>
        <v>39</v>
      </c>
      <c r="B43" s="141" t="s">
        <v>1119</v>
      </c>
      <c r="C43" s="137" t="s">
        <v>1061</v>
      </c>
      <c r="D43" s="138">
        <v>2024</v>
      </c>
      <c r="E43" s="139">
        <v>634396714</v>
      </c>
      <c r="F43" s="141" t="s">
        <v>1083</v>
      </c>
      <c r="G43" s="138"/>
      <c r="H43" s="140" t="s">
        <v>17</v>
      </c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87" x14ac:dyDescent="0.35">
      <c r="A44" s="136">
        <f t="shared" si="0"/>
        <v>40</v>
      </c>
      <c r="B44" s="141" t="s">
        <v>1120</v>
      </c>
      <c r="C44" s="137" t="s">
        <v>1121</v>
      </c>
      <c r="D44" s="138">
        <v>2024</v>
      </c>
      <c r="E44" s="139">
        <v>942761373</v>
      </c>
      <c r="F44" s="141" t="s">
        <v>1122</v>
      </c>
      <c r="G44" s="138"/>
      <c r="H44" s="140" t="s">
        <v>17</v>
      </c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72.5" x14ac:dyDescent="0.35">
      <c r="A45" s="136">
        <f t="shared" si="0"/>
        <v>41</v>
      </c>
      <c r="B45" s="141" t="s">
        <v>1123</v>
      </c>
      <c r="C45" s="137" t="s">
        <v>1048</v>
      </c>
      <c r="D45" s="138">
        <v>2024</v>
      </c>
      <c r="E45" s="139">
        <v>210600000</v>
      </c>
      <c r="F45" s="141" t="s">
        <v>1124</v>
      </c>
      <c r="G45" s="138"/>
      <c r="H45" s="140" t="s">
        <v>17</v>
      </c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58" x14ac:dyDescent="0.35">
      <c r="A46" s="136">
        <f t="shared" si="0"/>
        <v>42</v>
      </c>
      <c r="B46" s="141" t="s">
        <v>1125</v>
      </c>
      <c r="C46" s="137" t="s">
        <v>1048</v>
      </c>
      <c r="D46" s="138">
        <v>2024</v>
      </c>
      <c r="E46" s="139">
        <v>310600000</v>
      </c>
      <c r="F46" s="141" t="s">
        <v>1124</v>
      </c>
      <c r="G46" s="138"/>
      <c r="H46" s="140" t="s">
        <v>17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43.5" x14ac:dyDescent="0.35">
      <c r="A47" s="136">
        <f t="shared" si="0"/>
        <v>43</v>
      </c>
      <c r="B47" s="141" t="s">
        <v>1126</v>
      </c>
      <c r="C47" s="137" t="s">
        <v>1048</v>
      </c>
      <c r="D47" s="138">
        <v>2024</v>
      </c>
      <c r="E47" s="139">
        <v>56890000</v>
      </c>
      <c r="F47" s="141" t="s">
        <v>1101</v>
      </c>
      <c r="G47" s="138"/>
      <c r="H47" s="140" t="s">
        <v>17</v>
      </c>
      <c r="I47" s="136"/>
      <c r="J47" s="141"/>
      <c r="K47" s="137"/>
      <c r="L47" s="138"/>
      <c r="M47" s="139"/>
      <c r="N47" s="141"/>
      <c r="O47" s="138"/>
      <c r="P47" s="140"/>
      <c r="Q47" s="136"/>
      <c r="R47" s="141"/>
      <c r="S47" s="137"/>
      <c r="T47" s="138"/>
      <c r="U47" s="139"/>
      <c r="V47" s="141"/>
      <c r="W47" s="138"/>
      <c r="X47" s="140"/>
      <c r="Y47" s="94"/>
      <c r="Z47" s="94"/>
    </row>
    <row r="48" spans="1:26" ht="72.5" x14ac:dyDescent="0.35">
      <c r="A48" s="136">
        <f t="shared" si="0"/>
        <v>44</v>
      </c>
      <c r="B48" s="141" t="s">
        <v>1127</v>
      </c>
      <c r="C48" s="137" t="s">
        <v>1128</v>
      </c>
      <c r="D48" s="138">
        <v>2024</v>
      </c>
      <c r="E48" s="139">
        <v>117360000</v>
      </c>
      <c r="F48" s="141" t="s">
        <v>1101</v>
      </c>
      <c r="G48" s="138"/>
      <c r="H48" s="140" t="s">
        <v>17</v>
      </c>
      <c r="I48" s="136"/>
      <c r="J48" s="141"/>
      <c r="K48" s="137"/>
      <c r="L48" s="138"/>
      <c r="M48" s="139"/>
      <c r="N48" s="141"/>
      <c r="O48" s="138"/>
      <c r="P48" s="140"/>
      <c r="Q48" s="136"/>
      <c r="R48" s="141"/>
      <c r="S48" s="137"/>
      <c r="T48" s="138"/>
      <c r="U48" s="139"/>
      <c r="V48" s="141"/>
      <c r="W48" s="138"/>
      <c r="X48" s="140"/>
      <c r="Y48" s="94"/>
      <c r="Z48" s="94"/>
    </row>
    <row r="49" spans="1:26" ht="72.5" x14ac:dyDescent="0.35">
      <c r="A49" s="136">
        <f t="shared" si="0"/>
        <v>45</v>
      </c>
      <c r="B49" s="141" t="s">
        <v>1129</v>
      </c>
      <c r="C49" s="137" t="s">
        <v>1130</v>
      </c>
      <c r="D49" s="138">
        <v>2024</v>
      </c>
      <c r="E49" s="139">
        <v>111170000</v>
      </c>
      <c r="F49" s="141" t="s">
        <v>1101</v>
      </c>
      <c r="G49" s="138"/>
      <c r="H49" s="140" t="s">
        <v>17</v>
      </c>
      <c r="I49" s="136"/>
      <c r="J49" s="141"/>
      <c r="K49" s="137"/>
      <c r="L49" s="138"/>
      <c r="M49" s="139"/>
      <c r="N49" s="141"/>
      <c r="O49" s="138"/>
      <c r="P49" s="140"/>
      <c r="Q49" s="136"/>
      <c r="R49" s="141"/>
      <c r="S49" s="137"/>
      <c r="T49" s="138"/>
      <c r="U49" s="139"/>
      <c r="V49" s="141"/>
      <c r="W49" s="138"/>
      <c r="X49" s="140"/>
      <c r="Y49" s="94"/>
      <c r="Z49" s="94"/>
    </row>
    <row r="50" spans="1:26" ht="14.25" customHeight="1" x14ac:dyDescent="0.35">
      <c r="A50" s="94"/>
      <c r="B50" s="127"/>
      <c r="C50" s="94"/>
      <c r="D50" s="94"/>
      <c r="E50" s="142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4.25" customHeight="1" x14ac:dyDescent="0.35">
      <c r="A51" s="94"/>
      <c r="B51" s="127"/>
      <c r="C51" s="94"/>
      <c r="D51" s="94"/>
      <c r="E51" s="142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4.25" customHeight="1" x14ac:dyDescent="0.35">
      <c r="A52" s="94"/>
      <c r="B52" s="127"/>
      <c r="C52" s="94"/>
      <c r="D52" s="94"/>
      <c r="E52" s="142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4.25" customHeight="1" x14ac:dyDescent="0.35">
      <c r="A53" s="94"/>
      <c r="B53" s="127"/>
      <c r="C53" s="94"/>
      <c r="D53" s="94"/>
      <c r="E53" s="142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4.25" customHeight="1" x14ac:dyDescent="0.35">
      <c r="A54" s="94"/>
      <c r="B54" s="127"/>
      <c r="C54" s="94"/>
      <c r="D54" s="94"/>
      <c r="E54" s="142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4.25" customHeight="1" x14ac:dyDescent="0.35">
      <c r="A55" s="94"/>
      <c r="B55" s="127"/>
      <c r="C55" s="94"/>
      <c r="D55" s="94"/>
      <c r="E55" s="142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4.25" customHeight="1" x14ac:dyDescent="0.35">
      <c r="A56" s="94"/>
      <c r="B56" s="127"/>
      <c r="C56" s="94"/>
      <c r="D56" s="94"/>
      <c r="E56" s="142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4.25" customHeight="1" x14ac:dyDescent="0.35">
      <c r="A57" s="94"/>
      <c r="B57" s="127"/>
      <c r="C57" s="94"/>
      <c r="D57" s="94"/>
      <c r="E57" s="142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4.25" customHeight="1" x14ac:dyDescent="0.35">
      <c r="A58" s="94"/>
      <c r="B58" s="127"/>
      <c r="C58" s="94"/>
      <c r="D58" s="94"/>
      <c r="E58" s="142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4.25" customHeight="1" x14ac:dyDescent="0.35">
      <c r="A59" s="94"/>
      <c r="B59" s="127"/>
      <c r="C59" s="94"/>
      <c r="D59" s="94"/>
      <c r="E59" s="142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ht="14.25" customHeight="1" x14ac:dyDescent="0.35">
      <c r="A60" s="94"/>
      <c r="B60" s="127"/>
      <c r="C60" s="94"/>
      <c r="D60" s="94"/>
      <c r="E60" s="142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ht="14.25" customHeight="1" x14ac:dyDescent="0.35">
      <c r="A61" s="94"/>
      <c r="B61" s="127"/>
      <c r="C61" s="94"/>
      <c r="D61" s="94"/>
      <c r="E61" s="14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ht="14.25" customHeight="1" x14ac:dyDescent="0.35">
      <c r="A62" s="94"/>
      <c r="B62" s="127"/>
      <c r="C62" s="94"/>
      <c r="D62" s="94"/>
      <c r="E62" s="142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ht="14.25" customHeight="1" x14ac:dyDescent="0.35">
      <c r="A63" s="94"/>
      <c r="B63" s="127"/>
      <c r="C63" s="94"/>
      <c r="D63" s="94"/>
      <c r="E63" s="142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ht="14.25" customHeight="1" x14ac:dyDescent="0.35">
      <c r="A64" s="94"/>
      <c r="B64" s="127"/>
      <c r="C64" s="94"/>
      <c r="D64" s="94"/>
      <c r="E64" s="142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ht="14.25" customHeight="1" x14ac:dyDescent="0.35">
      <c r="A65" s="94"/>
      <c r="B65" s="127"/>
      <c r="C65" s="94"/>
      <c r="D65" s="94"/>
      <c r="E65" s="142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ht="14.25" customHeight="1" x14ac:dyDescent="0.35">
      <c r="A66" s="94"/>
      <c r="B66" s="127"/>
      <c r="C66" s="94"/>
      <c r="D66" s="94"/>
      <c r="E66" s="142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ht="14.25" customHeight="1" x14ac:dyDescent="0.35">
      <c r="A67" s="94"/>
      <c r="B67" s="127"/>
      <c r="C67" s="94"/>
      <c r="D67" s="94"/>
      <c r="E67" s="142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4.25" customHeight="1" x14ac:dyDescent="0.35">
      <c r="A68" s="94"/>
      <c r="B68" s="127"/>
      <c r="C68" s="94"/>
      <c r="D68" s="94"/>
      <c r="E68" s="142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4.25" customHeight="1" x14ac:dyDescent="0.35">
      <c r="A69" s="94"/>
      <c r="B69" s="127"/>
      <c r="C69" s="94"/>
      <c r="D69" s="94"/>
      <c r="E69" s="142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4.25" customHeight="1" x14ac:dyDescent="0.35">
      <c r="A70" s="94"/>
      <c r="B70" s="127"/>
      <c r="C70" s="94"/>
      <c r="D70" s="94"/>
      <c r="E70" s="142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4.25" customHeight="1" x14ac:dyDescent="0.35">
      <c r="A71" s="94"/>
      <c r="B71" s="127"/>
      <c r="C71" s="94"/>
      <c r="D71" s="94"/>
      <c r="E71" s="142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4.25" customHeight="1" x14ac:dyDescent="0.35">
      <c r="A72" s="94"/>
      <c r="B72" s="127"/>
      <c r="C72" s="94"/>
      <c r="D72" s="94"/>
      <c r="E72" s="142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4.25" customHeight="1" x14ac:dyDescent="0.35">
      <c r="A73" s="94"/>
      <c r="B73" s="127"/>
      <c r="C73" s="94"/>
      <c r="D73" s="94"/>
      <c r="E73" s="142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4.25" customHeight="1" x14ac:dyDescent="0.35">
      <c r="A74" s="94"/>
      <c r="B74" s="127"/>
      <c r="C74" s="94"/>
      <c r="D74" s="94"/>
      <c r="E74" s="142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4.25" customHeight="1" x14ac:dyDescent="0.35">
      <c r="A75" s="94"/>
      <c r="B75" s="127"/>
      <c r="C75" s="94"/>
      <c r="D75" s="94"/>
      <c r="E75" s="142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4.25" customHeight="1" x14ac:dyDescent="0.35">
      <c r="A76" s="94"/>
      <c r="B76" s="127"/>
      <c r="C76" s="94"/>
      <c r="D76" s="94"/>
      <c r="E76" s="142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4.25" customHeight="1" x14ac:dyDescent="0.35">
      <c r="A77" s="94"/>
      <c r="B77" s="127"/>
      <c r="C77" s="94"/>
      <c r="D77" s="94"/>
      <c r="E77" s="142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4.25" customHeight="1" x14ac:dyDescent="0.35">
      <c r="A78" s="94"/>
      <c r="B78" s="127"/>
      <c r="C78" s="94"/>
      <c r="D78" s="94"/>
      <c r="E78" s="142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4.25" customHeight="1" x14ac:dyDescent="0.35">
      <c r="A79" s="94"/>
      <c r="B79" s="127"/>
      <c r="C79" s="94"/>
      <c r="D79" s="94"/>
      <c r="E79" s="142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4.25" customHeight="1" x14ac:dyDescent="0.35">
      <c r="A80" s="94"/>
      <c r="B80" s="127"/>
      <c r="C80" s="94"/>
      <c r="D80" s="94"/>
      <c r="E80" s="142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4.25" customHeight="1" x14ac:dyDescent="0.35">
      <c r="A81" s="94"/>
      <c r="B81" s="127"/>
      <c r="C81" s="94"/>
      <c r="D81" s="94"/>
      <c r="E81" s="142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4.25" customHeight="1" x14ac:dyDescent="0.35">
      <c r="A82" s="94"/>
      <c r="B82" s="127"/>
      <c r="C82" s="94"/>
      <c r="D82" s="94"/>
      <c r="E82" s="142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4.25" customHeight="1" x14ac:dyDescent="0.35">
      <c r="A83" s="94"/>
      <c r="B83" s="127"/>
      <c r="C83" s="94"/>
      <c r="D83" s="94"/>
      <c r="E83" s="142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4.25" customHeight="1" x14ac:dyDescent="0.35">
      <c r="A84" s="94"/>
      <c r="B84" s="127"/>
      <c r="C84" s="94"/>
      <c r="D84" s="94"/>
      <c r="E84" s="142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4.25" customHeight="1" x14ac:dyDescent="0.35">
      <c r="A85" s="94"/>
      <c r="B85" s="127"/>
      <c r="C85" s="94"/>
      <c r="D85" s="94"/>
      <c r="E85" s="142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4.25" customHeight="1" x14ac:dyDescent="0.35">
      <c r="A86" s="94"/>
      <c r="B86" s="127"/>
      <c r="C86" s="94"/>
      <c r="D86" s="94"/>
      <c r="E86" s="142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4.25" customHeight="1" x14ac:dyDescent="0.35">
      <c r="A87" s="94"/>
      <c r="B87" s="127"/>
      <c r="C87" s="94"/>
      <c r="D87" s="94"/>
      <c r="E87" s="142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4.25" customHeight="1" x14ac:dyDescent="0.35">
      <c r="A88" s="94"/>
      <c r="B88" s="127"/>
      <c r="C88" s="94"/>
      <c r="D88" s="94"/>
      <c r="E88" s="142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4.25" customHeight="1" x14ac:dyDescent="0.35">
      <c r="A89" s="94"/>
      <c r="B89" s="127"/>
      <c r="C89" s="94"/>
      <c r="D89" s="94"/>
      <c r="E89" s="142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4.25" customHeight="1" x14ac:dyDescent="0.35">
      <c r="A90" s="94"/>
      <c r="B90" s="127"/>
      <c r="C90" s="94"/>
      <c r="D90" s="94"/>
      <c r="E90" s="142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4.25" customHeight="1" x14ac:dyDescent="0.35">
      <c r="A91" s="94"/>
      <c r="B91" s="127"/>
      <c r="C91" s="94"/>
      <c r="D91" s="94"/>
      <c r="E91" s="142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4.25" customHeight="1" x14ac:dyDescent="0.35">
      <c r="A92" s="94"/>
      <c r="B92" s="127"/>
      <c r="C92" s="94"/>
      <c r="D92" s="94"/>
      <c r="E92" s="142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4.25" customHeight="1" x14ac:dyDescent="0.35">
      <c r="A93" s="94"/>
      <c r="B93" s="127"/>
      <c r="C93" s="94"/>
      <c r="D93" s="94"/>
      <c r="E93" s="142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4.25" customHeight="1" x14ac:dyDescent="0.35">
      <c r="A94" s="94"/>
      <c r="B94" s="127"/>
      <c r="C94" s="94"/>
      <c r="D94" s="94"/>
      <c r="E94" s="142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4.25" customHeight="1" x14ac:dyDescent="0.35">
      <c r="A95" s="94"/>
      <c r="B95" s="127"/>
      <c r="C95" s="94"/>
      <c r="D95" s="94"/>
      <c r="E95" s="142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4.25" customHeight="1" x14ac:dyDescent="0.35">
      <c r="A96" s="94"/>
      <c r="B96" s="127"/>
      <c r="C96" s="94"/>
      <c r="D96" s="94"/>
      <c r="E96" s="142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4.25" customHeight="1" x14ac:dyDescent="0.35">
      <c r="A97" s="94"/>
      <c r="B97" s="127"/>
      <c r="C97" s="94"/>
      <c r="D97" s="94"/>
      <c r="E97" s="142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4.25" customHeight="1" x14ac:dyDescent="0.35">
      <c r="A98" s="94"/>
      <c r="B98" s="127"/>
      <c r="C98" s="94"/>
      <c r="D98" s="94"/>
      <c r="E98" s="142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4.25" customHeight="1" x14ac:dyDescent="0.35">
      <c r="A99" s="94"/>
      <c r="B99" s="127"/>
      <c r="C99" s="94"/>
      <c r="D99" s="94"/>
      <c r="E99" s="142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4.25" customHeight="1" x14ac:dyDescent="0.35">
      <c r="A100" s="94"/>
      <c r="B100" s="127"/>
      <c r="C100" s="94"/>
      <c r="D100" s="94"/>
      <c r="E100" s="142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4.25" customHeight="1" x14ac:dyDescent="0.35">
      <c r="A101" s="94"/>
      <c r="B101" s="127"/>
      <c r="C101" s="94"/>
      <c r="D101" s="94"/>
      <c r="E101" s="142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4.25" customHeight="1" x14ac:dyDescent="0.35">
      <c r="A102" s="94"/>
      <c r="B102" s="127"/>
      <c r="C102" s="94"/>
      <c r="D102" s="94"/>
      <c r="E102" s="142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4.25" customHeight="1" x14ac:dyDescent="0.35">
      <c r="A103" s="94"/>
      <c r="B103" s="127"/>
      <c r="C103" s="94"/>
      <c r="D103" s="94"/>
      <c r="E103" s="142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4.25" customHeight="1" x14ac:dyDescent="0.35">
      <c r="A104" s="94"/>
      <c r="B104" s="127"/>
      <c r="C104" s="94"/>
      <c r="D104" s="94"/>
      <c r="E104" s="142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4.25" customHeight="1" x14ac:dyDescent="0.35">
      <c r="A105" s="94"/>
      <c r="B105" s="127"/>
      <c r="C105" s="94"/>
      <c r="D105" s="94"/>
      <c r="E105" s="142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4.25" customHeight="1" x14ac:dyDescent="0.35">
      <c r="A106" s="94"/>
      <c r="B106" s="127"/>
      <c r="C106" s="94"/>
      <c r="D106" s="94"/>
      <c r="E106" s="142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4.25" customHeight="1" x14ac:dyDescent="0.35">
      <c r="A107" s="94"/>
      <c r="B107" s="127"/>
      <c r="C107" s="94"/>
      <c r="D107" s="94"/>
      <c r="E107" s="142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4.25" customHeight="1" x14ac:dyDescent="0.35">
      <c r="A108" s="94"/>
      <c r="B108" s="127"/>
      <c r="C108" s="94"/>
      <c r="D108" s="94"/>
      <c r="E108" s="142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4.25" customHeight="1" x14ac:dyDescent="0.35">
      <c r="A109" s="94"/>
      <c r="B109" s="127"/>
      <c r="C109" s="94"/>
      <c r="D109" s="94"/>
      <c r="E109" s="142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4.25" customHeight="1" x14ac:dyDescent="0.35">
      <c r="A110" s="94"/>
      <c r="B110" s="127"/>
      <c r="C110" s="94"/>
      <c r="D110" s="94"/>
      <c r="E110" s="142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4.25" customHeight="1" x14ac:dyDescent="0.35">
      <c r="A111" s="94"/>
      <c r="B111" s="127"/>
      <c r="C111" s="94"/>
      <c r="D111" s="94"/>
      <c r="E111" s="142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4.25" customHeight="1" x14ac:dyDescent="0.35">
      <c r="A112" s="94"/>
      <c r="B112" s="127"/>
      <c r="C112" s="94"/>
      <c r="D112" s="94"/>
      <c r="E112" s="142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4.25" customHeight="1" x14ac:dyDescent="0.35">
      <c r="A113" s="94"/>
      <c r="B113" s="127"/>
      <c r="C113" s="94"/>
      <c r="D113" s="94"/>
      <c r="E113" s="142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4.25" customHeight="1" x14ac:dyDescent="0.35">
      <c r="A114" s="94"/>
      <c r="B114" s="127"/>
      <c r="C114" s="94"/>
      <c r="D114" s="94"/>
      <c r="E114" s="142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4.25" customHeight="1" x14ac:dyDescent="0.35">
      <c r="A115" s="94"/>
      <c r="B115" s="127"/>
      <c r="C115" s="94"/>
      <c r="D115" s="94"/>
      <c r="E115" s="142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4.25" customHeight="1" x14ac:dyDescent="0.35">
      <c r="A116" s="94"/>
      <c r="B116" s="127"/>
      <c r="C116" s="94"/>
      <c r="D116" s="94"/>
      <c r="E116" s="142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4.25" customHeight="1" x14ac:dyDescent="0.35">
      <c r="A117" s="94"/>
      <c r="B117" s="127"/>
      <c r="C117" s="94"/>
      <c r="D117" s="94"/>
      <c r="E117" s="142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4.25" customHeight="1" x14ac:dyDescent="0.35">
      <c r="A118" s="94"/>
      <c r="B118" s="127"/>
      <c r="C118" s="94"/>
      <c r="D118" s="94"/>
      <c r="E118" s="142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4.25" customHeight="1" x14ac:dyDescent="0.35">
      <c r="A119" s="94"/>
      <c r="B119" s="127"/>
      <c r="C119" s="94"/>
      <c r="D119" s="94"/>
      <c r="E119" s="142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4.25" customHeight="1" x14ac:dyDescent="0.35">
      <c r="A120" s="94"/>
      <c r="B120" s="127"/>
      <c r="C120" s="94"/>
      <c r="D120" s="94"/>
      <c r="E120" s="142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4.25" customHeight="1" x14ac:dyDescent="0.35">
      <c r="A121" s="94"/>
      <c r="B121" s="127"/>
      <c r="C121" s="94"/>
      <c r="D121" s="94"/>
      <c r="E121" s="142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4.25" customHeight="1" x14ac:dyDescent="0.35">
      <c r="A122" s="94"/>
      <c r="B122" s="127"/>
      <c r="C122" s="94"/>
      <c r="D122" s="94"/>
      <c r="E122" s="142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4.25" customHeight="1" x14ac:dyDescent="0.35">
      <c r="A123" s="94"/>
      <c r="B123" s="127"/>
      <c r="C123" s="94"/>
      <c r="D123" s="94"/>
      <c r="E123" s="142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4.25" customHeight="1" x14ac:dyDescent="0.35">
      <c r="A124" s="94"/>
      <c r="B124" s="127"/>
      <c r="C124" s="94"/>
      <c r="D124" s="94"/>
      <c r="E124" s="142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4.25" customHeight="1" x14ac:dyDescent="0.35">
      <c r="A125" s="94"/>
      <c r="B125" s="127"/>
      <c r="C125" s="94"/>
      <c r="D125" s="94"/>
      <c r="E125" s="142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4.25" customHeight="1" x14ac:dyDescent="0.35">
      <c r="A126" s="94"/>
      <c r="B126" s="127"/>
      <c r="C126" s="94"/>
      <c r="D126" s="94"/>
      <c r="E126" s="142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4.25" customHeight="1" x14ac:dyDescent="0.35">
      <c r="A127" s="94"/>
      <c r="B127" s="127"/>
      <c r="C127" s="94"/>
      <c r="D127" s="94"/>
      <c r="E127" s="142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4.25" customHeight="1" x14ac:dyDescent="0.35">
      <c r="A128" s="94"/>
      <c r="B128" s="127"/>
      <c r="C128" s="94"/>
      <c r="D128" s="94"/>
      <c r="E128" s="142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4.25" customHeight="1" x14ac:dyDescent="0.35">
      <c r="A129" s="94"/>
      <c r="B129" s="127"/>
      <c r="C129" s="94"/>
      <c r="D129" s="94"/>
      <c r="E129" s="142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4.25" customHeight="1" x14ac:dyDescent="0.35">
      <c r="A130" s="94"/>
      <c r="B130" s="127"/>
      <c r="C130" s="94"/>
      <c r="D130" s="94"/>
      <c r="E130" s="142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4.25" customHeight="1" x14ac:dyDescent="0.35">
      <c r="A131" s="94"/>
      <c r="B131" s="127"/>
      <c r="C131" s="94"/>
      <c r="D131" s="94"/>
      <c r="E131" s="142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4.25" customHeight="1" x14ac:dyDescent="0.35">
      <c r="A132" s="94"/>
      <c r="B132" s="127"/>
      <c r="C132" s="94"/>
      <c r="D132" s="94"/>
      <c r="E132" s="142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4.25" customHeight="1" x14ac:dyDescent="0.35">
      <c r="A133" s="94"/>
      <c r="B133" s="127"/>
      <c r="C133" s="94"/>
      <c r="D133" s="94"/>
      <c r="E133" s="142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4.25" customHeight="1" x14ac:dyDescent="0.35">
      <c r="A134" s="94"/>
      <c r="B134" s="127"/>
      <c r="C134" s="94"/>
      <c r="D134" s="94"/>
      <c r="E134" s="142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4.25" customHeight="1" x14ac:dyDescent="0.35">
      <c r="A135" s="94"/>
      <c r="B135" s="127"/>
      <c r="C135" s="94"/>
      <c r="D135" s="94"/>
      <c r="E135" s="142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4.25" customHeight="1" x14ac:dyDescent="0.35">
      <c r="A136" s="94"/>
      <c r="B136" s="127"/>
      <c r="C136" s="94"/>
      <c r="D136" s="94"/>
      <c r="E136" s="142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4.25" customHeight="1" x14ac:dyDescent="0.35">
      <c r="A137" s="94"/>
      <c r="B137" s="127"/>
      <c r="C137" s="94"/>
      <c r="D137" s="94"/>
      <c r="E137" s="142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4.25" customHeight="1" x14ac:dyDescent="0.35">
      <c r="A138" s="94"/>
      <c r="B138" s="127"/>
      <c r="C138" s="94"/>
      <c r="D138" s="94"/>
      <c r="E138" s="142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4.25" customHeight="1" x14ac:dyDescent="0.35">
      <c r="A139" s="94"/>
      <c r="B139" s="127"/>
      <c r="C139" s="94"/>
      <c r="D139" s="94"/>
      <c r="E139" s="142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4.25" customHeight="1" x14ac:dyDescent="0.35">
      <c r="A140" s="94"/>
      <c r="B140" s="127"/>
      <c r="C140" s="94"/>
      <c r="D140" s="94"/>
      <c r="E140" s="142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4.25" customHeight="1" x14ac:dyDescent="0.35">
      <c r="A141" s="94"/>
      <c r="B141" s="127"/>
      <c r="C141" s="94"/>
      <c r="D141" s="94"/>
      <c r="E141" s="142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4.25" customHeight="1" x14ac:dyDescent="0.35">
      <c r="A142" s="94"/>
      <c r="B142" s="127"/>
      <c r="C142" s="94"/>
      <c r="D142" s="94"/>
      <c r="E142" s="142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4.25" customHeight="1" x14ac:dyDescent="0.35">
      <c r="A143" s="94"/>
      <c r="B143" s="127"/>
      <c r="C143" s="94"/>
      <c r="D143" s="94"/>
      <c r="E143" s="142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4.25" customHeight="1" x14ac:dyDescent="0.35">
      <c r="A144" s="94"/>
      <c r="B144" s="127"/>
      <c r="C144" s="94"/>
      <c r="D144" s="94"/>
      <c r="E144" s="142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4.25" customHeight="1" x14ac:dyDescent="0.35">
      <c r="A145" s="94"/>
      <c r="B145" s="127"/>
      <c r="C145" s="94"/>
      <c r="D145" s="94"/>
      <c r="E145" s="142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4.25" customHeight="1" x14ac:dyDescent="0.35">
      <c r="A146" s="94"/>
      <c r="B146" s="127"/>
      <c r="C146" s="94"/>
      <c r="D146" s="94"/>
      <c r="E146" s="142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4.25" customHeight="1" x14ac:dyDescent="0.35">
      <c r="A147" s="94"/>
      <c r="B147" s="127"/>
      <c r="C147" s="94"/>
      <c r="D147" s="94"/>
      <c r="E147" s="142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4.25" customHeight="1" x14ac:dyDescent="0.35">
      <c r="A148" s="94"/>
      <c r="B148" s="127"/>
      <c r="C148" s="94"/>
      <c r="D148" s="94"/>
      <c r="E148" s="142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4.25" customHeight="1" x14ac:dyDescent="0.35">
      <c r="A149" s="94"/>
      <c r="B149" s="127"/>
      <c r="C149" s="94"/>
      <c r="D149" s="94"/>
      <c r="E149" s="142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4.25" customHeight="1" x14ac:dyDescent="0.35">
      <c r="A150" s="94"/>
      <c r="B150" s="127"/>
      <c r="C150" s="94"/>
      <c r="D150" s="94"/>
      <c r="E150" s="142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4.25" customHeight="1" x14ac:dyDescent="0.35">
      <c r="A151" s="94"/>
      <c r="B151" s="127"/>
      <c r="C151" s="94"/>
      <c r="D151" s="94"/>
      <c r="E151" s="142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4.25" customHeight="1" x14ac:dyDescent="0.35">
      <c r="A152" s="94"/>
      <c r="B152" s="127"/>
      <c r="C152" s="94"/>
      <c r="D152" s="94"/>
      <c r="E152" s="142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4.25" customHeight="1" x14ac:dyDescent="0.35">
      <c r="A153" s="94"/>
      <c r="B153" s="127"/>
      <c r="C153" s="94"/>
      <c r="D153" s="94"/>
      <c r="E153" s="142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4.25" customHeight="1" x14ac:dyDescent="0.35">
      <c r="A154" s="94"/>
      <c r="B154" s="127"/>
      <c r="C154" s="94"/>
      <c r="D154" s="94"/>
      <c r="E154" s="142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4.25" customHeight="1" x14ac:dyDescent="0.35">
      <c r="A155" s="94"/>
      <c r="B155" s="127"/>
      <c r="C155" s="94"/>
      <c r="D155" s="94"/>
      <c r="E155" s="142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4.25" customHeight="1" x14ac:dyDescent="0.35">
      <c r="A156" s="94"/>
      <c r="B156" s="127"/>
      <c r="C156" s="94"/>
      <c r="D156" s="94"/>
      <c r="E156" s="142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4.25" customHeight="1" x14ac:dyDescent="0.35">
      <c r="A157" s="94"/>
      <c r="B157" s="127"/>
      <c r="C157" s="94"/>
      <c r="D157" s="94"/>
      <c r="E157" s="142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4.25" customHeight="1" x14ac:dyDescent="0.35">
      <c r="A158" s="94"/>
      <c r="B158" s="127"/>
      <c r="C158" s="94"/>
      <c r="D158" s="94"/>
      <c r="E158" s="142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4.25" customHeight="1" x14ac:dyDescent="0.35">
      <c r="A159" s="94"/>
      <c r="B159" s="127"/>
      <c r="C159" s="94"/>
      <c r="D159" s="94"/>
      <c r="E159" s="142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4.25" customHeight="1" x14ac:dyDescent="0.35">
      <c r="A160" s="94"/>
      <c r="B160" s="127"/>
      <c r="C160" s="94"/>
      <c r="D160" s="94"/>
      <c r="E160" s="142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4.25" customHeight="1" x14ac:dyDescent="0.35">
      <c r="A161" s="94"/>
      <c r="B161" s="127"/>
      <c r="C161" s="94"/>
      <c r="D161" s="94"/>
      <c r="E161" s="142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4.25" customHeight="1" x14ac:dyDescent="0.35">
      <c r="A162" s="94"/>
      <c r="B162" s="127"/>
      <c r="C162" s="94"/>
      <c r="D162" s="94"/>
      <c r="E162" s="142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4.25" customHeight="1" x14ac:dyDescent="0.35">
      <c r="A163" s="94"/>
      <c r="B163" s="127"/>
      <c r="C163" s="94"/>
      <c r="D163" s="94"/>
      <c r="E163" s="142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4.25" customHeight="1" x14ac:dyDescent="0.35">
      <c r="A164" s="94"/>
      <c r="B164" s="127"/>
      <c r="C164" s="94"/>
      <c r="D164" s="94"/>
      <c r="E164" s="142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4.25" customHeight="1" x14ac:dyDescent="0.35">
      <c r="A165" s="94"/>
      <c r="B165" s="127"/>
      <c r="C165" s="94"/>
      <c r="D165" s="94"/>
      <c r="E165" s="142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4.25" customHeight="1" x14ac:dyDescent="0.35">
      <c r="A166" s="94"/>
      <c r="B166" s="127"/>
      <c r="C166" s="94"/>
      <c r="D166" s="94"/>
      <c r="E166" s="142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4.25" customHeight="1" x14ac:dyDescent="0.35">
      <c r="A167" s="94"/>
      <c r="B167" s="127"/>
      <c r="C167" s="94"/>
      <c r="D167" s="94"/>
      <c r="E167" s="142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4.25" customHeight="1" x14ac:dyDescent="0.35">
      <c r="A168" s="94"/>
      <c r="B168" s="127"/>
      <c r="C168" s="94"/>
      <c r="D168" s="94"/>
      <c r="E168" s="142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4.25" customHeight="1" x14ac:dyDescent="0.35">
      <c r="A169" s="94"/>
      <c r="B169" s="127"/>
      <c r="C169" s="94"/>
      <c r="D169" s="94"/>
      <c r="E169" s="142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4.25" customHeight="1" x14ac:dyDescent="0.35">
      <c r="A170" s="94"/>
      <c r="B170" s="127"/>
      <c r="C170" s="94"/>
      <c r="D170" s="94"/>
      <c r="E170" s="142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4.25" customHeight="1" x14ac:dyDescent="0.35">
      <c r="A171" s="94"/>
      <c r="B171" s="127"/>
      <c r="C171" s="94"/>
      <c r="D171" s="94"/>
      <c r="E171" s="142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4.25" customHeight="1" x14ac:dyDescent="0.35">
      <c r="A172" s="94"/>
      <c r="B172" s="127"/>
      <c r="C172" s="94"/>
      <c r="D172" s="94"/>
      <c r="E172" s="142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4.25" customHeight="1" x14ac:dyDescent="0.35">
      <c r="A173" s="94"/>
      <c r="B173" s="127"/>
      <c r="C173" s="94"/>
      <c r="D173" s="94"/>
      <c r="E173" s="142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4.25" customHeight="1" x14ac:dyDescent="0.35">
      <c r="A174" s="94"/>
      <c r="B174" s="127"/>
      <c r="C174" s="94"/>
      <c r="D174" s="94"/>
      <c r="E174" s="142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4.25" customHeight="1" x14ac:dyDescent="0.35">
      <c r="A175" s="94"/>
      <c r="B175" s="127"/>
      <c r="C175" s="94"/>
      <c r="D175" s="94"/>
      <c r="E175" s="142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4.25" customHeight="1" x14ac:dyDescent="0.35">
      <c r="A176" s="94"/>
      <c r="B176" s="127"/>
      <c r="C176" s="94"/>
      <c r="D176" s="94"/>
      <c r="E176" s="142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4.25" customHeight="1" x14ac:dyDescent="0.35">
      <c r="A177" s="94"/>
      <c r="B177" s="127"/>
      <c r="C177" s="94"/>
      <c r="D177" s="94"/>
      <c r="E177" s="142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4.25" customHeight="1" x14ac:dyDescent="0.35">
      <c r="A178" s="94"/>
      <c r="B178" s="127"/>
      <c r="C178" s="94"/>
      <c r="D178" s="94"/>
      <c r="E178" s="142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4.25" customHeight="1" x14ac:dyDescent="0.35">
      <c r="A179" s="94"/>
      <c r="B179" s="127"/>
      <c r="C179" s="94"/>
      <c r="D179" s="94"/>
      <c r="E179" s="142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4.25" customHeight="1" x14ac:dyDescent="0.35">
      <c r="A180" s="94"/>
      <c r="B180" s="127"/>
      <c r="C180" s="94"/>
      <c r="D180" s="94"/>
      <c r="E180" s="142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4.25" customHeight="1" x14ac:dyDescent="0.35">
      <c r="A181" s="94"/>
      <c r="B181" s="127"/>
      <c r="C181" s="94"/>
      <c r="D181" s="94"/>
      <c r="E181" s="142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4.25" customHeight="1" x14ac:dyDescent="0.35">
      <c r="A182" s="94"/>
      <c r="B182" s="127"/>
      <c r="C182" s="94"/>
      <c r="D182" s="94"/>
      <c r="E182" s="142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4.25" customHeight="1" x14ac:dyDescent="0.35">
      <c r="A183" s="94"/>
      <c r="B183" s="127"/>
      <c r="C183" s="94"/>
      <c r="D183" s="94"/>
      <c r="E183" s="142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4.25" customHeight="1" x14ac:dyDescent="0.35">
      <c r="A184" s="94"/>
      <c r="B184" s="127"/>
      <c r="C184" s="94"/>
      <c r="D184" s="94"/>
      <c r="E184" s="142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4.25" customHeight="1" x14ac:dyDescent="0.35">
      <c r="A185" s="94"/>
      <c r="B185" s="127"/>
      <c r="C185" s="94"/>
      <c r="D185" s="94"/>
      <c r="E185" s="142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4.25" customHeight="1" x14ac:dyDescent="0.35">
      <c r="A186" s="94"/>
      <c r="B186" s="127"/>
      <c r="C186" s="94"/>
      <c r="D186" s="94"/>
      <c r="E186" s="142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4.25" customHeight="1" x14ac:dyDescent="0.35">
      <c r="A187" s="94"/>
      <c r="B187" s="127"/>
      <c r="C187" s="94"/>
      <c r="D187" s="94"/>
      <c r="E187" s="142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4.25" customHeight="1" x14ac:dyDescent="0.35">
      <c r="A188" s="94"/>
      <c r="B188" s="127"/>
      <c r="C188" s="94"/>
      <c r="D188" s="94"/>
      <c r="E188" s="142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4.25" customHeight="1" x14ac:dyDescent="0.35">
      <c r="A189" s="94"/>
      <c r="B189" s="127"/>
      <c r="C189" s="94"/>
      <c r="D189" s="94"/>
      <c r="E189" s="142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4.25" customHeight="1" x14ac:dyDescent="0.35">
      <c r="A190" s="94"/>
      <c r="B190" s="127"/>
      <c r="C190" s="94"/>
      <c r="D190" s="94"/>
      <c r="E190" s="142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4.25" customHeight="1" x14ac:dyDescent="0.35">
      <c r="A191" s="94"/>
      <c r="B191" s="127"/>
      <c r="C191" s="94"/>
      <c r="D191" s="94"/>
      <c r="E191" s="142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4.25" customHeight="1" x14ac:dyDescent="0.35">
      <c r="A192" s="94"/>
      <c r="B192" s="127"/>
      <c r="C192" s="94"/>
      <c r="D192" s="94"/>
      <c r="E192" s="142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4.25" customHeight="1" x14ac:dyDescent="0.35">
      <c r="A193" s="94"/>
      <c r="B193" s="127"/>
      <c r="C193" s="94"/>
      <c r="D193" s="94"/>
      <c r="E193" s="142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4.25" customHeight="1" x14ac:dyDescent="0.35">
      <c r="A194" s="94"/>
      <c r="B194" s="127"/>
      <c r="C194" s="94"/>
      <c r="D194" s="94"/>
      <c r="E194" s="142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4.25" customHeight="1" x14ac:dyDescent="0.35">
      <c r="A195" s="94"/>
      <c r="B195" s="127"/>
      <c r="C195" s="94"/>
      <c r="D195" s="94"/>
      <c r="E195" s="142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4.25" customHeight="1" x14ac:dyDescent="0.35">
      <c r="A196" s="94"/>
      <c r="B196" s="127"/>
      <c r="C196" s="94"/>
      <c r="D196" s="94"/>
      <c r="E196" s="142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4.25" customHeight="1" x14ac:dyDescent="0.35">
      <c r="A197" s="94"/>
      <c r="B197" s="127"/>
      <c r="C197" s="94"/>
      <c r="D197" s="94"/>
      <c r="E197" s="142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4.25" customHeight="1" x14ac:dyDescent="0.35">
      <c r="A198" s="94"/>
      <c r="B198" s="127"/>
      <c r="C198" s="94"/>
      <c r="D198" s="94"/>
      <c r="E198" s="142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4.25" customHeight="1" x14ac:dyDescent="0.35">
      <c r="A199" s="94"/>
      <c r="B199" s="127"/>
      <c r="C199" s="94"/>
      <c r="D199" s="94"/>
      <c r="E199" s="142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4.25" customHeight="1" x14ac:dyDescent="0.35">
      <c r="A200" s="94"/>
      <c r="B200" s="127"/>
      <c r="C200" s="94"/>
      <c r="D200" s="94"/>
      <c r="E200" s="142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4.25" customHeight="1" x14ac:dyDescent="0.35">
      <c r="A201" s="94"/>
      <c r="B201" s="127"/>
      <c r="C201" s="94"/>
      <c r="D201" s="94"/>
      <c r="E201" s="142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4.25" customHeight="1" x14ac:dyDescent="0.35">
      <c r="A202" s="94"/>
      <c r="B202" s="127"/>
      <c r="C202" s="94"/>
      <c r="D202" s="94"/>
      <c r="E202" s="142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4.25" customHeight="1" x14ac:dyDescent="0.35">
      <c r="A203" s="94"/>
      <c r="B203" s="127"/>
      <c r="C203" s="94"/>
      <c r="D203" s="94"/>
      <c r="E203" s="142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4.25" customHeight="1" x14ac:dyDescent="0.35">
      <c r="A204" s="94"/>
      <c r="B204" s="127"/>
      <c r="C204" s="94"/>
      <c r="D204" s="94"/>
      <c r="E204" s="142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4.25" customHeight="1" x14ac:dyDescent="0.35">
      <c r="A205" s="94"/>
      <c r="B205" s="127"/>
      <c r="C205" s="94"/>
      <c r="D205" s="94"/>
      <c r="E205" s="142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4.25" customHeight="1" x14ac:dyDescent="0.35">
      <c r="A206" s="94"/>
      <c r="B206" s="127"/>
      <c r="C206" s="94"/>
      <c r="D206" s="94"/>
      <c r="E206" s="142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4.25" customHeight="1" x14ac:dyDescent="0.35">
      <c r="A207" s="94"/>
      <c r="B207" s="127"/>
      <c r="C207" s="94"/>
      <c r="D207" s="94"/>
      <c r="E207" s="142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4.25" customHeight="1" x14ac:dyDescent="0.35">
      <c r="A208" s="94"/>
      <c r="B208" s="127"/>
      <c r="C208" s="94"/>
      <c r="D208" s="94"/>
      <c r="E208" s="142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4.25" customHeight="1" x14ac:dyDescent="0.35">
      <c r="A209" s="94"/>
      <c r="B209" s="127"/>
      <c r="C209" s="94"/>
      <c r="D209" s="94"/>
      <c r="E209" s="142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4.25" customHeight="1" x14ac:dyDescent="0.35">
      <c r="A210" s="94"/>
      <c r="B210" s="127"/>
      <c r="C210" s="94"/>
      <c r="D210" s="94"/>
      <c r="E210" s="142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4.25" customHeight="1" x14ac:dyDescent="0.35">
      <c r="A211" s="94"/>
      <c r="B211" s="127"/>
      <c r="C211" s="94"/>
      <c r="D211" s="94"/>
      <c r="E211" s="142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4.25" customHeight="1" x14ac:dyDescent="0.35">
      <c r="A212" s="94"/>
      <c r="B212" s="127"/>
      <c r="C212" s="94"/>
      <c r="D212" s="94"/>
      <c r="E212" s="142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4.25" customHeight="1" x14ac:dyDescent="0.35">
      <c r="A213" s="94"/>
      <c r="B213" s="127"/>
      <c r="C213" s="94"/>
      <c r="D213" s="94"/>
      <c r="E213" s="142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4.25" customHeight="1" x14ac:dyDescent="0.35">
      <c r="A214" s="94"/>
      <c r="B214" s="127"/>
      <c r="C214" s="94"/>
      <c r="D214" s="94"/>
      <c r="E214" s="142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4.25" customHeight="1" x14ac:dyDescent="0.35">
      <c r="A215" s="94"/>
      <c r="B215" s="127"/>
      <c r="C215" s="94"/>
      <c r="D215" s="94"/>
      <c r="E215" s="142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4.25" customHeight="1" x14ac:dyDescent="0.35">
      <c r="A216" s="94"/>
      <c r="B216" s="127"/>
      <c r="C216" s="94"/>
      <c r="D216" s="94"/>
      <c r="E216" s="142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4.25" customHeight="1" x14ac:dyDescent="0.35">
      <c r="A217" s="94"/>
      <c r="B217" s="127"/>
      <c r="C217" s="94"/>
      <c r="D217" s="94"/>
      <c r="E217" s="142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4.25" customHeight="1" x14ac:dyDescent="0.35">
      <c r="A218" s="94"/>
      <c r="B218" s="127"/>
      <c r="C218" s="94"/>
      <c r="D218" s="94"/>
      <c r="E218" s="142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4.25" customHeight="1" x14ac:dyDescent="0.35">
      <c r="A219" s="94"/>
      <c r="B219" s="127"/>
      <c r="C219" s="94"/>
      <c r="D219" s="94"/>
      <c r="E219" s="142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4.25" customHeight="1" x14ac:dyDescent="0.35">
      <c r="A220" s="94"/>
      <c r="B220" s="127"/>
      <c r="C220" s="94"/>
      <c r="D220" s="94"/>
      <c r="E220" s="142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4.25" customHeight="1" x14ac:dyDescent="0.35">
      <c r="A221" s="94"/>
      <c r="B221" s="127"/>
      <c r="C221" s="94"/>
      <c r="D221" s="94"/>
      <c r="E221" s="142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4.25" customHeight="1" x14ac:dyDescent="0.35">
      <c r="A222" s="94"/>
      <c r="B222" s="127"/>
      <c r="C222" s="94"/>
      <c r="D222" s="94"/>
      <c r="E222" s="142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4.25" customHeight="1" x14ac:dyDescent="0.35">
      <c r="A223" s="94"/>
      <c r="B223" s="127"/>
      <c r="C223" s="94"/>
      <c r="D223" s="94"/>
      <c r="E223" s="142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4.25" customHeight="1" x14ac:dyDescent="0.35">
      <c r="A224" s="94"/>
      <c r="B224" s="127"/>
      <c r="C224" s="94"/>
      <c r="D224" s="94"/>
      <c r="E224" s="142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4.25" customHeight="1" x14ac:dyDescent="0.35">
      <c r="A225" s="94"/>
      <c r="B225" s="127"/>
      <c r="C225" s="94"/>
      <c r="D225" s="94"/>
      <c r="E225" s="142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4.25" customHeight="1" x14ac:dyDescent="0.35">
      <c r="A226" s="94"/>
      <c r="B226" s="127"/>
      <c r="C226" s="94"/>
      <c r="D226" s="94"/>
      <c r="E226" s="142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4.25" customHeight="1" x14ac:dyDescent="0.35">
      <c r="A227" s="94"/>
      <c r="B227" s="127"/>
      <c r="C227" s="94"/>
      <c r="D227" s="94"/>
      <c r="E227" s="142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4.25" customHeight="1" x14ac:dyDescent="0.35">
      <c r="A228" s="94"/>
      <c r="B228" s="127"/>
      <c r="C228" s="94"/>
      <c r="D228" s="94"/>
      <c r="E228" s="142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4.25" customHeight="1" x14ac:dyDescent="0.35">
      <c r="A229" s="94"/>
      <c r="B229" s="127"/>
      <c r="C229" s="94"/>
      <c r="D229" s="94"/>
      <c r="E229" s="142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4.25" customHeight="1" x14ac:dyDescent="0.35">
      <c r="A230" s="94"/>
      <c r="B230" s="127"/>
      <c r="C230" s="94"/>
      <c r="D230" s="94"/>
      <c r="E230" s="142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4.25" customHeight="1" x14ac:dyDescent="0.35">
      <c r="A231" s="94"/>
      <c r="B231" s="127"/>
      <c r="C231" s="94"/>
      <c r="D231" s="94"/>
      <c r="E231" s="142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4.25" customHeight="1" x14ac:dyDescent="0.35">
      <c r="A232" s="94"/>
      <c r="B232" s="127"/>
      <c r="C232" s="94"/>
      <c r="D232" s="94"/>
      <c r="E232" s="142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4.25" customHeight="1" x14ac:dyDescent="0.35">
      <c r="A233" s="94"/>
      <c r="B233" s="127"/>
      <c r="C233" s="94"/>
      <c r="D233" s="94"/>
      <c r="E233" s="142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4.25" customHeight="1" x14ac:dyDescent="0.35">
      <c r="A234" s="94"/>
      <c r="B234" s="127"/>
      <c r="C234" s="94"/>
      <c r="D234" s="94"/>
      <c r="E234" s="142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4.25" customHeight="1" x14ac:dyDescent="0.35">
      <c r="A235" s="94"/>
      <c r="B235" s="127"/>
      <c r="C235" s="94"/>
      <c r="D235" s="94"/>
      <c r="E235" s="142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4.25" customHeight="1" x14ac:dyDescent="0.35">
      <c r="A236" s="94"/>
      <c r="B236" s="127"/>
      <c r="C236" s="94"/>
      <c r="D236" s="94"/>
      <c r="E236" s="142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4.25" customHeight="1" x14ac:dyDescent="0.35">
      <c r="A237" s="94"/>
      <c r="B237" s="127"/>
      <c r="C237" s="94"/>
      <c r="D237" s="94"/>
      <c r="E237" s="142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4.25" customHeight="1" x14ac:dyDescent="0.35">
      <c r="A238" s="94"/>
      <c r="B238" s="127"/>
      <c r="C238" s="94"/>
      <c r="D238" s="94"/>
      <c r="E238" s="142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4.25" customHeight="1" x14ac:dyDescent="0.35">
      <c r="A239" s="94"/>
      <c r="B239" s="127"/>
      <c r="C239" s="94"/>
      <c r="D239" s="94"/>
      <c r="E239" s="142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4.25" customHeight="1" x14ac:dyDescent="0.35">
      <c r="A240" s="94"/>
      <c r="B240" s="127"/>
      <c r="C240" s="94"/>
      <c r="D240" s="94"/>
      <c r="E240" s="142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4.25" customHeight="1" x14ac:dyDescent="0.35">
      <c r="A241" s="94"/>
      <c r="B241" s="127"/>
      <c r="C241" s="94"/>
      <c r="D241" s="94"/>
      <c r="E241" s="142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4.25" customHeight="1" x14ac:dyDescent="0.35">
      <c r="A242" s="94"/>
      <c r="B242" s="127"/>
      <c r="C242" s="94"/>
      <c r="D242" s="94"/>
      <c r="E242" s="142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4.25" customHeight="1" x14ac:dyDescent="0.35">
      <c r="A243" s="94"/>
      <c r="B243" s="127"/>
      <c r="C243" s="94"/>
      <c r="D243" s="94"/>
      <c r="E243" s="142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4.25" customHeight="1" x14ac:dyDescent="0.35">
      <c r="A244" s="94"/>
      <c r="B244" s="127"/>
      <c r="C244" s="94"/>
      <c r="D244" s="94"/>
      <c r="E244" s="142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4.25" customHeight="1" x14ac:dyDescent="0.35">
      <c r="A245" s="94"/>
      <c r="B245" s="127"/>
      <c r="C245" s="94"/>
      <c r="D245" s="94"/>
      <c r="E245" s="142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4.25" customHeight="1" x14ac:dyDescent="0.35">
      <c r="A246" s="94"/>
      <c r="B246" s="127"/>
      <c r="C246" s="94"/>
      <c r="D246" s="94"/>
      <c r="E246" s="142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4.25" customHeight="1" x14ac:dyDescent="0.35">
      <c r="A247" s="94"/>
      <c r="B247" s="127"/>
      <c r="C247" s="94"/>
      <c r="D247" s="94"/>
      <c r="E247" s="142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4.25" customHeight="1" x14ac:dyDescent="0.35">
      <c r="A248" s="94"/>
      <c r="B248" s="127"/>
      <c r="C248" s="94"/>
      <c r="D248" s="94"/>
      <c r="E248" s="142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4.25" customHeight="1" x14ac:dyDescent="0.35">
      <c r="A249" s="94"/>
      <c r="B249" s="127"/>
      <c r="C249" s="94"/>
      <c r="D249" s="94"/>
      <c r="E249" s="142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4.25" customHeight="1" x14ac:dyDescent="0.35">
      <c r="A250" s="94"/>
      <c r="B250" s="127"/>
      <c r="C250" s="94"/>
      <c r="D250" s="94"/>
      <c r="E250" s="142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4.25" customHeight="1" x14ac:dyDescent="0.35">
      <c r="A251" s="94"/>
      <c r="B251" s="127"/>
      <c r="C251" s="94"/>
      <c r="D251" s="94"/>
      <c r="E251" s="142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4.25" customHeight="1" x14ac:dyDescent="0.35">
      <c r="A252" s="94"/>
      <c r="B252" s="127"/>
      <c r="C252" s="94"/>
      <c r="D252" s="94"/>
      <c r="E252" s="142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4.25" customHeight="1" x14ac:dyDescent="0.35">
      <c r="A253" s="94"/>
      <c r="B253" s="127"/>
      <c r="C253" s="94"/>
      <c r="D253" s="94"/>
      <c r="E253" s="142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4.25" customHeight="1" x14ac:dyDescent="0.35">
      <c r="A254" s="94"/>
      <c r="B254" s="127"/>
      <c r="C254" s="94"/>
      <c r="D254" s="94"/>
      <c r="E254" s="142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4.25" customHeight="1" x14ac:dyDescent="0.35">
      <c r="A255" s="94"/>
      <c r="B255" s="127"/>
      <c r="C255" s="94"/>
      <c r="D255" s="94"/>
      <c r="E255" s="142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4.25" customHeight="1" x14ac:dyDescent="0.35">
      <c r="A256" s="94"/>
      <c r="B256" s="127"/>
      <c r="C256" s="94"/>
      <c r="D256" s="94"/>
      <c r="E256" s="142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4.25" customHeight="1" x14ac:dyDescent="0.35">
      <c r="A257" s="94"/>
      <c r="B257" s="127"/>
      <c r="C257" s="94"/>
      <c r="D257" s="94"/>
      <c r="E257" s="142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4.25" customHeight="1" x14ac:dyDescent="0.35">
      <c r="A258" s="94"/>
      <c r="B258" s="127"/>
      <c r="C258" s="94"/>
      <c r="D258" s="94"/>
      <c r="E258" s="142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4.25" customHeight="1" x14ac:dyDescent="0.35">
      <c r="A259" s="94"/>
      <c r="B259" s="127"/>
      <c r="C259" s="94"/>
      <c r="D259" s="94"/>
      <c r="E259" s="142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4.25" customHeight="1" x14ac:dyDescent="0.35">
      <c r="A260" s="94"/>
      <c r="B260" s="127"/>
      <c r="C260" s="94"/>
      <c r="D260" s="94"/>
      <c r="E260" s="142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4.25" customHeight="1" x14ac:dyDescent="0.35">
      <c r="A261" s="94"/>
      <c r="B261" s="127"/>
      <c r="C261" s="94"/>
      <c r="D261" s="94"/>
      <c r="E261" s="142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4.25" customHeight="1" x14ac:dyDescent="0.35">
      <c r="A262" s="94"/>
      <c r="B262" s="127"/>
      <c r="C262" s="94"/>
      <c r="D262" s="94"/>
      <c r="E262" s="142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4.25" customHeight="1" x14ac:dyDescent="0.35">
      <c r="A263" s="94"/>
      <c r="B263" s="127"/>
      <c r="C263" s="94"/>
      <c r="D263" s="94"/>
      <c r="E263" s="142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4.25" customHeight="1" x14ac:dyDescent="0.35">
      <c r="A264" s="94"/>
      <c r="B264" s="127"/>
      <c r="C264" s="94"/>
      <c r="D264" s="94"/>
      <c r="E264" s="142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4.25" customHeight="1" x14ac:dyDescent="0.35">
      <c r="A265" s="94"/>
      <c r="B265" s="127"/>
      <c r="C265" s="94"/>
      <c r="D265" s="94"/>
      <c r="E265" s="142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4.25" customHeight="1" x14ac:dyDescent="0.35">
      <c r="A266" s="94"/>
      <c r="B266" s="127"/>
      <c r="C266" s="94"/>
      <c r="D266" s="94"/>
      <c r="E266" s="142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4.25" customHeight="1" x14ac:dyDescent="0.35">
      <c r="A267" s="94"/>
      <c r="B267" s="127"/>
      <c r="C267" s="94"/>
      <c r="D267" s="94"/>
      <c r="E267" s="142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4.25" customHeight="1" x14ac:dyDescent="0.35">
      <c r="A268" s="94"/>
      <c r="B268" s="127"/>
      <c r="C268" s="94"/>
      <c r="D268" s="94"/>
      <c r="E268" s="142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4.25" customHeight="1" x14ac:dyDescent="0.35">
      <c r="A269" s="94"/>
      <c r="B269" s="127"/>
      <c r="C269" s="94"/>
      <c r="D269" s="94"/>
      <c r="E269" s="142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4.25" customHeight="1" x14ac:dyDescent="0.35">
      <c r="A270" s="94"/>
      <c r="B270" s="127"/>
      <c r="C270" s="94"/>
      <c r="D270" s="94"/>
      <c r="E270" s="142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4.25" customHeight="1" x14ac:dyDescent="0.35">
      <c r="A271" s="94"/>
      <c r="B271" s="127"/>
      <c r="C271" s="94"/>
      <c r="D271" s="94"/>
      <c r="E271" s="142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4.25" customHeight="1" x14ac:dyDescent="0.35">
      <c r="A272" s="94"/>
      <c r="B272" s="127"/>
      <c r="C272" s="94"/>
      <c r="D272" s="94"/>
      <c r="E272" s="142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4.25" customHeight="1" x14ac:dyDescent="0.35">
      <c r="A273" s="94"/>
      <c r="B273" s="127"/>
      <c r="C273" s="94"/>
      <c r="D273" s="94"/>
      <c r="E273" s="142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4.25" customHeight="1" x14ac:dyDescent="0.35">
      <c r="A274" s="94"/>
      <c r="B274" s="127"/>
      <c r="C274" s="94"/>
      <c r="D274" s="94"/>
      <c r="E274" s="142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4.25" customHeight="1" x14ac:dyDescent="0.35">
      <c r="A275" s="94"/>
      <c r="B275" s="127"/>
      <c r="C275" s="94"/>
      <c r="D275" s="94"/>
      <c r="E275" s="142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</row>
    <row r="276" spans="1:26" ht="14.25" customHeight="1" x14ac:dyDescent="0.35">
      <c r="A276" s="94"/>
      <c r="B276" s="127"/>
      <c r="C276" s="94"/>
      <c r="D276" s="94"/>
      <c r="E276" s="142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</row>
    <row r="277" spans="1:26" ht="14.25" customHeight="1" x14ac:dyDescent="0.35">
      <c r="A277" s="94"/>
      <c r="B277" s="127"/>
      <c r="C277" s="94"/>
      <c r="D277" s="94"/>
      <c r="E277" s="142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</row>
    <row r="278" spans="1:26" ht="14.25" customHeight="1" x14ac:dyDescent="0.35">
      <c r="A278" s="94"/>
      <c r="B278" s="127"/>
      <c r="C278" s="94"/>
      <c r="D278" s="94"/>
      <c r="E278" s="142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</row>
    <row r="279" spans="1:26" ht="14.25" customHeight="1" x14ac:dyDescent="0.35">
      <c r="A279" s="94"/>
      <c r="B279" s="127"/>
      <c r="C279" s="94"/>
      <c r="D279" s="94"/>
      <c r="E279" s="142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</row>
    <row r="280" spans="1:26" ht="14.25" customHeight="1" x14ac:dyDescent="0.35">
      <c r="A280" s="94"/>
      <c r="B280" s="127"/>
      <c r="C280" s="94"/>
      <c r="D280" s="94"/>
      <c r="E280" s="142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</row>
    <row r="281" spans="1:26" ht="14.25" customHeight="1" x14ac:dyDescent="0.35">
      <c r="A281" s="94"/>
      <c r="B281" s="127"/>
      <c r="C281" s="94"/>
      <c r="D281" s="94"/>
      <c r="E281" s="142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</row>
    <row r="282" spans="1:26" ht="14.25" customHeight="1" x14ac:dyDescent="0.35">
      <c r="A282" s="94"/>
      <c r="B282" s="127"/>
      <c r="C282" s="94"/>
      <c r="D282" s="94"/>
      <c r="E282" s="142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</row>
    <row r="283" spans="1:26" ht="14.25" customHeight="1" x14ac:dyDescent="0.35">
      <c r="A283" s="94"/>
      <c r="B283" s="127"/>
      <c r="C283" s="94"/>
      <c r="D283" s="94"/>
      <c r="E283" s="142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</row>
    <row r="284" spans="1:26" ht="14.25" customHeight="1" x14ac:dyDescent="0.35">
      <c r="A284" s="94"/>
      <c r="B284" s="127"/>
      <c r="C284" s="94"/>
      <c r="D284" s="94"/>
      <c r="E284" s="142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</row>
    <row r="285" spans="1:26" ht="14.25" customHeight="1" x14ac:dyDescent="0.35">
      <c r="A285" s="94"/>
      <c r="B285" s="127"/>
      <c r="C285" s="94"/>
      <c r="D285" s="94"/>
      <c r="E285" s="142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</row>
    <row r="286" spans="1:26" ht="14.25" customHeight="1" x14ac:dyDescent="0.35">
      <c r="A286" s="94"/>
      <c r="B286" s="127"/>
      <c r="C286" s="94"/>
      <c r="D286" s="94"/>
      <c r="E286" s="142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</row>
    <row r="287" spans="1:26" ht="14.25" customHeight="1" x14ac:dyDescent="0.35">
      <c r="A287" s="94"/>
      <c r="B287" s="127"/>
      <c r="C287" s="94"/>
      <c r="D287" s="94"/>
      <c r="E287" s="142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</row>
    <row r="288" spans="1:26" ht="14.25" customHeight="1" x14ac:dyDescent="0.35">
      <c r="A288" s="94"/>
      <c r="B288" s="127"/>
      <c r="C288" s="94"/>
      <c r="D288" s="94"/>
      <c r="E288" s="142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</row>
    <row r="289" spans="1:26" ht="14.25" customHeight="1" x14ac:dyDescent="0.35">
      <c r="A289" s="94"/>
      <c r="B289" s="127"/>
      <c r="C289" s="94"/>
      <c r="D289" s="94"/>
      <c r="E289" s="142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</row>
    <row r="290" spans="1:26" ht="14.25" customHeight="1" x14ac:dyDescent="0.35">
      <c r="A290" s="94"/>
      <c r="B290" s="127"/>
      <c r="C290" s="94"/>
      <c r="D290" s="94"/>
      <c r="E290" s="142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</row>
    <row r="291" spans="1:26" ht="14.25" customHeight="1" x14ac:dyDescent="0.35">
      <c r="A291" s="94"/>
      <c r="B291" s="127"/>
      <c r="C291" s="94"/>
      <c r="D291" s="94"/>
      <c r="E291" s="142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</row>
    <row r="292" spans="1:26" ht="14.25" customHeight="1" x14ac:dyDescent="0.35">
      <c r="A292" s="94"/>
      <c r="B292" s="127"/>
      <c r="C292" s="94"/>
      <c r="D292" s="94"/>
      <c r="E292" s="142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</row>
    <row r="293" spans="1:26" ht="14.25" customHeight="1" x14ac:dyDescent="0.35">
      <c r="A293" s="94"/>
      <c r="B293" s="127"/>
      <c r="C293" s="94"/>
      <c r="D293" s="94"/>
      <c r="E293" s="142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</row>
    <row r="294" spans="1:26" ht="14.25" customHeight="1" x14ac:dyDescent="0.35">
      <c r="A294" s="94"/>
      <c r="B294" s="127"/>
      <c r="C294" s="94"/>
      <c r="D294" s="94"/>
      <c r="E294" s="142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</row>
    <row r="295" spans="1:26" ht="14.25" customHeight="1" x14ac:dyDescent="0.35">
      <c r="A295" s="94"/>
      <c r="B295" s="127"/>
      <c r="C295" s="94"/>
      <c r="D295" s="94"/>
      <c r="E295" s="142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</row>
    <row r="296" spans="1:26" ht="14.25" customHeight="1" x14ac:dyDescent="0.35">
      <c r="A296" s="94"/>
      <c r="B296" s="127"/>
      <c r="C296" s="94"/>
      <c r="D296" s="94"/>
      <c r="E296" s="142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</row>
    <row r="297" spans="1:26" ht="14.25" customHeight="1" x14ac:dyDescent="0.35">
      <c r="A297" s="94"/>
      <c r="B297" s="127"/>
      <c r="C297" s="94"/>
      <c r="D297" s="94"/>
      <c r="E297" s="142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</row>
    <row r="298" spans="1:26" ht="14.25" customHeight="1" x14ac:dyDescent="0.35">
      <c r="A298" s="94"/>
      <c r="B298" s="127"/>
      <c r="C298" s="94"/>
      <c r="D298" s="94"/>
      <c r="E298" s="142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</row>
    <row r="299" spans="1:26" ht="14.25" customHeight="1" x14ac:dyDescent="0.35">
      <c r="A299" s="94"/>
      <c r="B299" s="127"/>
      <c r="C299" s="94"/>
      <c r="D299" s="94"/>
      <c r="E299" s="142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</row>
    <row r="300" spans="1:26" ht="14.25" customHeight="1" x14ac:dyDescent="0.35">
      <c r="A300" s="94"/>
      <c r="B300" s="127"/>
      <c r="C300" s="94"/>
      <c r="D300" s="94"/>
      <c r="E300" s="142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</row>
    <row r="301" spans="1:26" ht="14.25" customHeight="1" x14ac:dyDescent="0.35">
      <c r="A301" s="94"/>
      <c r="B301" s="127"/>
      <c r="C301" s="94"/>
      <c r="D301" s="94"/>
      <c r="E301" s="142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</row>
    <row r="302" spans="1:26" ht="14.25" customHeight="1" x14ac:dyDescent="0.35">
      <c r="A302" s="94"/>
      <c r="B302" s="127"/>
      <c r="C302" s="94"/>
      <c r="D302" s="94"/>
      <c r="E302" s="142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</row>
    <row r="303" spans="1:26" ht="14.25" customHeight="1" x14ac:dyDescent="0.35">
      <c r="A303" s="94"/>
      <c r="B303" s="127"/>
      <c r="C303" s="94"/>
      <c r="D303" s="94"/>
      <c r="E303" s="142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</row>
    <row r="304" spans="1:26" ht="14.25" customHeight="1" x14ac:dyDescent="0.35">
      <c r="A304" s="94"/>
      <c r="B304" s="127"/>
      <c r="C304" s="94"/>
      <c r="D304" s="94"/>
      <c r="E304" s="142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</row>
    <row r="305" spans="1:26" ht="14.25" customHeight="1" x14ac:dyDescent="0.35">
      <c r="A305" s="94"/>
      <c r="B305" s="127"/>
      <c r="C305" s="94"/>
      <c r="D305" s="94"/>
      <c r="E305" s="142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</row>
    <row r="306" spans="1:26" ht="14.25" customHeight="1" x14ac:dyDescent="0.35">
      <c r="A306" s="94"/>
      <c r="B306" s="127"/>
      <c r="C306" s="94"/>
      <c r="D306" s="94"/>
      <c r="E306" s="142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</row>
    <row r="307" spans="1:26" ht="14.25" customHeight="1" x14ac:dyDescent="0.35">
      <c r="A307" s="94"/>
      <c r="B307" s="127"/>
      <c r="C307" s="94"/>
      <c r="D307" s="94"/>
      <c r="E307" s="142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</row>
    <row r="308" spans="1:26" ht="14.25" customHeight="1" x14ac:dyDescent="0.35">
      <c r="A308" s="94"/>
      <c r="B308" s="127"/>
      <c r="C308" s="94"/>
      <c r="D308" s="94"/>
      <c r="E308" s="142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</row>
    <row r="309" spans="1:26" ht="14.25" customHeight="1" x14ac:dyDescent="0.35">
      <c r="A309" s="94"/>
      <c r="B309" s="127"/>
      <c r="C309" s="94"/>
      <c r="D309" s="94"/>
      <c r="E309" s="142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</row>
    <row r="310" spans="1:26" ht="14.25" customHeight="1" x14ac:dyDescent="0.35">
      <c r="A310" s="94"/>
      <c r="B310" s="127"/>
      <c r="C310" s="94"/>
      <c r="D310" s="94"/>
      <c r="E310" s="142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</row>
    <row r="311" spans="1:26" ht="14.25" customHeight="1" x14ac:dyDescent="0.35">
      <c r="A311" s="94"/>
      <c r="B311" s="127"/>
      <c r="C311" s="94"/>
      <c r="D311" s="94"/>
      <c r="E311" s="142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</row>
    <row r="312" spans="1:26" ht="14.25" customHeight="1" x14ac:dyDescent="0.35">
      <c r="A312" s="94"/>
      <c r="B312" s="127"/>
      <c r="C312" s="94"/>
      <c r="D312" s="94"/>
      <c r="E312" s="142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</row>
    <row r="313" spans="1:26" ht="14.25" customHeight="1" x14ac:dyDescent="0.35">
      <c r="A313" s="94"/>
      <c r="B313" s="127"/>
      <c r="C313" s="94"/>
      <c r="D313" s="94"/>
      <c r="E313" s="142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</row>
    <row r="314" spans="1:26" ht="14.25" customHeight="1" x14ac:dyDescent="0.35">
      <c r="A314" s="94"/>
      <c r="B314" s="127"/>
      <c r="C314" s="94"/>
      <c r="D314" s="94"/>
      <c r="E314" s="142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</row>
    <row r="315" spans="1:26" ht="14.25" customHeight="1" x14ac:dyDescent="0.35">
      <c r="A315" s="94"/>
      <c r="B315" s="127"/>
      <c r="C315" s="94"/>
      <c r="D315" s="94"/>
      <c r="E315" s="142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</row>
    <row r="316" spans="1:26" ht="14.25" customHeight="1" x14ac:dyDescent="0.35">
      <c r="A316" s="94"/>
      <c r="B316" s="127"/>
      <c r="C316" s="94"/>
      <c r="D316" s="94"/>
      <c r="E316" s="142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</row>
    <row r="317" spans="1:26" ht="14.25" customHeight="1" x14ac:dyDescent="0.35">
      <c r="A317" s="94"/>
      <c r="B317" s="127"/>
      <c r="C317" s="94"/>
      <c r="D317" s="94"/>
      <c r="E317" s="142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</row>
    <row r="318" spans="1:26" ht="14.25" customHeight="1" x14ac:dyDescent="0.35">
      <c r="A318" s="94"/>
      <c r="B318" s="127"/>
      <c r="C318" s="94"/>
      <c r="D318" s="94"/>
      <c r="E318" s="142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</row>
    <row r="319" spans="1:26" ht="14.25" customHeight="1" x14ac:dyDescent="0.35">
      <c r="A319" s="94"/>
      <c r="B319" s="127"/>
      <c r="C319" s="94"/>
      <c r="D319" s="94"/>
      <c r="E319" s="142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</row>
    <row r="320" spans="1:26" ht="14.25" customHeight="1" x14ac:dyDescent="0.35">
      <c r="A320" s="94"/>
      <c r="B320" s="127"/>
      <c r="C320" s="94"/>
      <c r="D320" s="94"/>
      <c r="E320" s="142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</row>
    <row r="321" spans="1:26" ht="14.25" customHeight="1" x14ac:dyDescent="0.35">
      <c r="A321" s="94"/>
      <c r="B321" s="127"/>
      <c r="C321" s="94"/>
      <c r="D321" s="94"/>
      <c r="E321" s="142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</row>
    <row r="322" spans="1:26" ht="14.25" customHeight="1" x14ac:dyDescent="0.35">
      <c r="A322" s="94"/>
      <c r="B322" s="127"/>
      <c r="C322" s="94"/>
      <c r="D322" s="94"/>
      <c r="E322" s="142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</row>
    <row r="323" spans="1:26" ht="14.25" customHeight="1" x14ac:dyDescent="0.35">
      <c r="A323" s="94"/>
      <c r="B323" s="127"/>
      <c r="C323" s="94"/>
      <c r="D323" s="94"/>
      <c r="E323" s="142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</row>
    <row r="324" spans="1:26" ht="14.25" customHeight="1" x14ac:dyDescent="0.35">
      <c r="A324" s="94"/>
      <c r="B324" s="127"/>
      <c r="C324" s="94"/>
      <c r="D324" s="94"/>
      <c r="E324" s="142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</row>
    <row r="325" spans="1:26" ht="14.25" customHeight="1" x14ac:dyDescent="0.35">
      <c r="A325" s="94"/>
      <c r="B325" s="127"/>
      <c r="C325" s="94"/>
      <c r="D325" s="94"/>
      <c r="E325" s="142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</row>
    <row r="326" spans="1:26" ht="14.25" customHeight="1" x14ac:dyDescent="0.35">
      <c r="A326" s="94"/>
      <c r="B326" s="127"/>
      <c r="C326" s="94"/>
      <c r="D326" s="94"/>
      <c r="E326" s="142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</row>
    <row r="327" spans="1:26" ht="14.25" customHeight="1" x14ac:dyDescent="0.35">
      <c r="A327" s="94"/>
      <c r="B327" s="127"/>
      <c r="C327" s="94"/>
      <c r="D327" s="94"/>
      <c r="E327" s="142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</row>
    <row r="328" spans="1:26" ht="14.25" customHeight="1" x14ac:dyDescent="0.35">
      <c r="A328" s="94"/>
      <c r="B328" s="127"/>
      <c r="C328" s="94"/>
      <c r="D328" s="94"/>
      <c r="E328" s="142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</row>
    <row r="329" spans="1:26" ht="14.25" customHeight="1" x14ac:dyDescent="0.35">
      <c r="A329" s="94"/>
      <c r="B329" s="127"/>
      <c r="C329" s="94"/>
      <c r="D329" s="94"/>
      <c r="E329" s="142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</row>
    <row r="330" spans="1:26" ht="14.25" customHeight="1" x14ac:dyDescent="0.35">
      <c r="A330" s="94"/>
      <c r="B330" s="127"/>
      <c r="C330" s="94"/>
      <c r="D330" s="94"/>
      <c r="E330" s="142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</row>
    <row r="331" spans="1:26" ht="14.25" customHeight="1" x14ac:dyDescent="0.35">
      <c r="A331" s="94"/>
      <c r="B331" s="127"/>
      <c r="C331" s="94"/>
      <c r="D331" s="94"/>
      <c r="E331" s="142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</row>
    <row r="332" spans="1:26" ht="14.25" customHeight="1" x14ac:dyDescent="0.35">
      <c r="A332" s="94"/>
      <c r="B332" s="127"/>
      <c r="C332" s="94"/>
      <c r="D332" s="94"/>
      <c r="E332" s="142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</row>
    <row r="333" spans="1:26" ht="14.25" customHeight="1" x14ac:dyDescent="0.35">
      <c r="A333" s="94"/>
      <c r="B333" s="127"/>
      <c r="C333" s="94"/>
      <c r="D333" s="94"/>
      <c r="E333" s="142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</row>
    <row r="334" spans="1:26" ht="14.25" customHeight="1" x14ac:dyDescent="0.35">
      <c r="A334" s="94"/>
      <c r="B334" s="127"/>
      <c r="C334" s="94"/>
      <c r="D334" s="94"/>
      <c r="E334" s="142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</row>
    <row r="335" spans="1:26" ht="14.25" customHeight="1" x14ac:dyDescent="0.35">
      <c r="A335" s="94"/>
      <c r="B335" s="127"/>
      <c r="C335" s="94"/>
      <c r="D335" s="94"/>
      <c r="E335" s="142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</row>
    <row r="336" spans="1:26" ht="14.25" customHeight="1" x14ac:dyDescent="0.35">
      <c r="A336" s="94"/>
      <c r="B336" s="127"/>
      <c r="C336" s="94"/>
      <c r="D336" s="94"/>
      <c r="E336" s="142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</row>
    <row r="337" spans="1:26" ht="14.25" customHeight="1" x14ac:dyDescent="0.35">
      <c r="A337" s="94"/>
      <c r="B337" s="127"/>
      <c r="C337" s="94"/>
      <c r="D337" s="94"/>
      <c r="E337" s="142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</row>
    <row r="338" spans="1:26" ht="14.25" customHeight="1" x14ac:dyDescent="0.35">
      <c r="A338" s="94"/>
      <c r="B338" s="127"/>
      <c r="C338" s="94"/>
      <c r="D338" s="94"/>
      <c r="E338" s="142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</row>
    <row r="339" spans="1:26" ht="14.25" customHeight="1" x14ac:dyDescent="0.35">
      <c r="A339" s="94"/>
      <c r="B339" s="127"/>
      <c r="C339" s="94"/>
      <c r="D339" s="94"/>
      <c r="E339" s="142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</row>
    <row r="340" spans="1:26" ht="14.25" customHeight="1" x14ac:dyDescent="0.35">
      <c r="A340" s="94"/>
      <c r="B340" s="127"/>
      <c r="C340" s="94"/>
      <c r="D340" s="94"/>
      <c r="E340" s="142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</row>
    <row r="341" spans="1:26" ht="14.25" customHeight="1" x14ac:dyDescent="0.35">
      <c r="A341" s="94"/>
      <c r="B341" s="127"/>
      <c r="C341" s="94"/>
      <c r="D341" s="94"/>
      <c r="E341" s="142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</row>
    <row r="342" spans="1:26" ht="14.25" customHeight="1" x14ac:dyDescent="0.35">
      <c r="A342" s="94"/>
      <c r="B342" s="127"/>
      <c r="C342" s="94"/>
      <c r="D342" s="94"/>
      <c r="E342" s="142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</row>
    <row r="343" spans="1:26" ht="14.25" customHeight="1" x14ac:dyDescent="0.35">
      <c r="A343" s="94"/>
      <c r="B343" s="127"/>
      <c r="C343" s="94"/>
      <c r="D343" s="94"/>
      <c r="E343" s="142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</row>
    <row r="344" spans="1:26" ht="14.25" customHeight="1" x14ac:dyDescent="0.35">
      <c r="A344" s="94"/>
      <c r="B344" s="127"/>
      <c r="C344" s="94"/>
      <c r="D344" s="94"/>
      <c r="E344" s="142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</row>
    <row r="345" spans="1:26" ht="14.25" customHeight="1" x14ac:dyDescent="0.35">
      <c r="A345" s="94"/>
      <c r="B345" s="127"/>
      <c r="C345" s="94"/>
      <c r="D345" s="94"/>
      <c r="E345" s="142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</row>
    <row r="346" spans="1:26" ht="14.25" customHeight="1" x14ac:dyDescent="0.35">
      <c r="A346" s="94"/>
      <c r="B346" s="127"/>
      <c r="C346" s="94"/>
      <c r="D346" s="94"/>
      <c r="E346" s="142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</row>
    <row r="347" spans="1:26" ht="14.25" customHeight="1" x14ac:dyDescent="0.35">
      <c r="A347" s="94"/>
      <c r="B347" s="127"/>
      <c r="C347" s="94"/>
      <c r="D347" s="94"/>
      <c r="E347" s="142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</row>
    <row r="348" spans="1:26" ht="14.25" customHeight="1" x14ac:dyDescent="0.35">
      <c r="A348" s="94"/>
      <c r="B348" s="127"/>
      <c r="C348" s="94"/>
      <c r="D348" s="94"/>
      <c r="E348" s="142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</row>
    <row r="349" spans="1:26" ht="14.25" customHeight="1" x14ac:dyDescent="0.35">
      <c r="A349" s="94"/>
      <c r="B349" s="127"/>
      <c r="C349" s="94"/>
      <c r="D349" s="94"/>
      <c r="E349" s="142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</row>
    <row r="350" spans="1:26" ht="14.25" customHeight="1" x14ac:dyDescent="0.35">
      <c r="A350" s="94"/>
      <c r="B350" s="127"/>
      <c r="C350" s="94"/>
      <c r="D350" s="94"/>
      <c r="E350" s="142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</row>
    <row r="351" spans="1:26" ht="14.25" customHeight="1" x14ac:dyDescent="0.35">
      <c r="A351" s="94"/>
      <c r="B351" s="127"/>
      <c r="C351" s="94"/>
      <c r="D351" s="94"/>
      <c r="E351" s="142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</row>
    <row r="352" spans="1:26" ht="14.25" customHeight="1" x14ac:dyDescent="0.35">
      <c r="A352" s="94"/>
      <c r="B352" s="127"/>
      <c r="C352" s="94"/>
      <c r="D352" s="94"/>
      <c r="E352" s="142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</row>
    <row r="353" spans="1:26" ht="14.25" customHeight="1" x14ac:dyDescent="0.35">
      <c r="A353" s="94"/>
      <c r="B353" s="127"/>
      <c r="C353" s="94"/>
      <c r="D353" s="94"/>
      <c r="E353" s="142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</row>
    <row r="354" spans="1:26" ht="14.25" customHeight="1" x14ac:dyDescent="0.35">
      <c r="A354" s="94"/>
      <c r="B354" s="127"/>
      <c r="C354" s="94"/>
      <c r="D354" s="94"/>
      <c r="E354" s="142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</row>
    <row r="355" spans="1:26" ht="14.25" customHeight="1" x14ac:dyDescent="0.35">
      <c r="A355" s="94"/>
      <c r="B355" s="127"/>
      <c r="C355" s="94"/>
      <c r="D355" s="94"/>
      <c r="E355" s="142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</row>
    <row r="356" spans="1:26" ht="14.25" customHeight="1" x14ac:dyDescent="0.35">
      <c r="A356" s="94"/>
      <c r="B356" s="127"/>
      <c r="C356" s="94"/>
      <c r="D356" s="94"/>
      <c r="E356" s="142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</row>
    <row r="357" spans="1:26" ht="14.25" customHeight="1" x14ac:dyDescent="0.35">
      <c r="A357" s="94"/>
      <c r="B357" s="127"/>
      <c r="C357" s="94"/>
      <c r="D357" s="94"/>
      <c r="E357" s="142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</row>
    <row r="358" spans="1:26" ht="14.25" customHeight="1" x14ac:dyDescent="0.35">
      <c r="A358" s="94"/>
      <c r="B358" s="127"/>
      <c r="C358" s="94"/>
      <c r="D358" s="94"/>
      <c r="E358" s="142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</row>
    <row r="359" spans="1:26" ht="14.25" customHeight="1" x14ac:dyDescent="0.35">
      <c r="A359" s="94"/>
      <c r="B359" s="127"/>
      <c r="C359" s="94"/>
      <c r="D359" s="94"/>
      <c r="E359" s="142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</row>
    <row r="360" spans="1:26" ht="14.25" customHeight="1" x14ac:dyDescent="0.35">
      <c r="A360" s="94"/>
      <c r="B360" s="127"/>
      <c r="C360" s="94"/>
      <c r="D360" s="94"/>
      <c r="E360" s="142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</row>
    <row r="361" spans="1:26" ht="14.25" customHeight="1" x14ac:dyDescent="0.35">
      <c r="A361" s="94"/>
      <c r="B361" s="127"/>
      <c r="C361" s="94"/>
      <c r="D361" s="94"/>
      <c r="E361" s="142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</row>
    <row r="362" spans="1:26" ht="14.25" customHeight="1" x14ac:dyDescent="0.35">
      <c r="A362" s="94"/>
      <c r="B362" s="127"/>
      <c r="C362" s="94"/>
      <c r="D362" s="94"/>
      <c r="E362" s="142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</row>
    <row r="363" spans="1:26" ht="14.25" customHeight="1" x14ac:dyDescent="0.35">
      <c r="A363" s="94"/>
      <c r="B363" s="127"/>
      <c r="C363" s="94"/>
      <c r="D363" s="94"/>
      <c r="E363" s="142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</row>
    <row r="364" spans="1:26" ht="14.25" customHeight="1" x14ac:dyDescent="0.35">
      <c r="A364" s="94"/>
      <c r="B364" s="127"/>
      <c r="C364" s="94"/>
      <c r="D364" s="94"/>
      <c r="E364" s="142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</row>
    <row r="365" spans="1:26" ht="14.25" customHeight="1" x14ac:dyDescent="0.35">
      <c r="A365" s="94"/>
      <c r="B365" s="127"/>
      <c r="C365" s="94"/>
      <c r="D365" s="94"/>
      <c r="E365" s="142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</row>
    <row r="366" spans="1:26" ht="14.25" customHeight="1" x14ac:dyDescent="0.35">
      <c r="A366" s="94"/>
      <c r="B366" s="127"/>
      <c r="C366" s="94"/>
      <c r="D366" s="94"/>
      <c r="E366" s="142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</row>
    <row r="367" spans="1:26" ht="14.25" customHeight="1" x14ac:dyDescent="0.35">
      <c r="A367" s="94"/>
      <c r="B367" s="127"/>
      <c r="C367" s="94"/>
      <c r="D367" s="94"/>
      <c r="E367" s="142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</row>
    <row r="368" spans="1:26" ht="14.25" customHeight="1" x14ac:dyDescent="0.35">
      <c r="A368" s="94"/>
      <c r="B368" s="127"/>
      <c r="C368" s="94"/>
      <c r="D368" s="94"/>
      <c r="E368" s="142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</row>
    <row r="369" spans="1:26" ht="14.25" customHeight="1" x14ac:dyDescent="0.35">
      <c r="A369" s="94"/>
      <c r="B369" s="127"/>
      <c r="C369" s="94"/>
      <c r="D369" s="94"/>
      <c r="E369" s="142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</row>
    <row r="370" spans="1:26" ht="14.25" customHeight="1" x14ac:dyDescent="0.35">
      <c r="A370" s="94"/>
      <c r="B370" s="127"/>
      <c r="C370" s="94"/>
      <c r="D370" s="94"/>
      <c r="E370" s="142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</row>
    <row r="371" spans="1:26" ht="14.25" customHeight="1" x14ac:dyDescent="0.35">
      <c r="A371" s="94"/>
      <c r="B371" s="127"/>
      <c r="C371" s="94"/>
      <c r="D371" s="94"/>
      <c r="E371" s="142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</row>
    <row r="372" spans="1:26" ht="14.25" customHeight="1" x14ac:dyDescent="0.35">
      <c r="A372" s="94"/>
      <c r="B372" s="127"/>
      <c r="C372" s="94"/>
      <c r="D372" s="94"/>
      <c r="E372" s="142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</row>
    <row r="373" spans="1:26" ht="14.25" customHeight="1" x14ac:dyDescent="0.35">
      <c r="A373" s="94"/>
      <c r="B373" s="127"/>
      <c r="C373" s="94"/>
      <c r="D373" s="94"/>
      <c r="E373" s="142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</row>
    <row r="374" spans="1:26" ht="14.25" customHeight="1" x14ac:dyDescent="0.35">
      <c r="A374" s="94"/>
      <c r="B374" s="127"/>
      <c r="C374" s="94"/>
      <c r="D374" s="94"/>
      <c r="E374" s="142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</row>
    <row r="375" spans="1:26" ht="14.25" customHeight="1" x14ac:dyDescent="0.35">
      <c r="A375" s="94"/>
      <c r="B375" s="127"/>
      <c r="C375" s="94"/>
      <c r="D375" s="94"/>
      <c r="E375" s="142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</row>
    <row r="376" spans="1:26" ht="14.25" customHeight="1" x14ac:dyDescent="0.35">
      <c r="A376" s="94"/>
      <c r="B376" s="127"/>
      <c r="C376" s="94"/>
      <c r="D376" s="94"/>
      <c r="E376" s="142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</row>
    <row r="377" spans="1:26" ht="14.25" customHeight="1" x14ac:dyDescent="0.35">
      <c r="A377" s="94"/>
      <c r="B377" s="127"/>
      <c r="C377" s="94"/>
      <c r="D377" s="94"/>
      <c r="E377" s="142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</row>
    <row r="378" spans="1:26" ht="14.25" customHeight="1" x14ac:dyDescent="0.35">
      <c r="A378" s="94"/>
      <c r="B378" s="127"/>
      <c r="C378" s="94"/>
      <c r="D378" s="94"/>
      <c r="E378" s="142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</row>
    <row r="379" spans="1:26" ht="14.25" customHeight="1" x14ac:dyDescent="0.35">
      <c r="A379" s="94"/>
      <c r="B379" s="127"/>
      <c r="C379" s="94"/>
      <c r="D379" s="94"/>
      <c r="E379" s="142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</row>
    <row r="380" spans="1:26" ht="14.25" customHeight="1" x14ac:dyDescent="0.35">
      <c r="A380" s="94"/>
      <c r="B380" s="127"/>
      <c r="C380" s="94"/>
      <c r="D380" s="94"/>
      <c r="E380" s="142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</row>
    <row r="381" spans="1:26" ht="14.25" customHeight="1" x14ac:dyDescent="0.35">
      <c r="A381" s="94"/>
      <c r="B381" s="127"/>
      <c r="C381" s="94"/>
      <c r="D381" s="94"/>
      <c r="E381" s="142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</row>
    <row r="382" spans="1:26" ht="14.25" customHeight="1" x14ac:dyDescent="0.35">
      <c r="A382" s="94"/>
      <c r="B382" s="127"/>
      <c r="C382" s="94"/>
      <c r="D382" s="94"/>
      <c r="E382" s="142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</row>
    <row r="383" spans="1:26" ht="14.25" customHeight="1" x14ac:dyDescent="0.35">
      <c r="A383" s="94"/>
      <c r="B383" s="127"/>
      <c r="C383" s="94"/>
      <c r="D383" s="94"/>
      <c r="E383" s="142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</row>
    <row r="384" spans="1:26" ht="14.25" customHeight="1" x14ac:dyDescent="0.35">
      <c r="A384" s="94"/>
      <c r="B384" s="127"/>
      <c r="C384" s="94"/>
      <c r="D384" s="94"/>
      <c r="E384" s="142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</row>
    <row r="385" spans="1:26" ht="14.25" customHeight="1" x14ac:dyDescent="0.35">
      <c r="A385" s="94"/>
      <c r="B385" s="127"/>
      <c r="C385" s="94"/>
      <c r="D385" s="94"/>
      <c r="E385" s="142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</row>
    <row r="386" spans="1:26" ht="14.25" customHeight="1" x14ac:dyDescent="0.35">
      <c r="A386" s="94"/>
      <c r="B386" s="127"/>
      <c r="C386" s="94"/>
      <c r="D386" s="94"/>
      <c r="E386" s="142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</row>
    <row r="387" spans="1:26" ht="14.25" customHeight="1" x14ac:dyDescent="0.35">
      <c r="A387" s="94"/>
      <c r="B387" s="127"/>
      <c r="C387" s="94"/>
      <c r="D387" s="94"/>
      <c r="E387" s="142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</row>
    <row r="388" spans="1:26" ht="14.25" customHeight="1" x14ac:dyDescent="0.35">
      <c r="A388" s="94"/>
      <c r="B388" s="127"/>
      <c r="C388" s="94"/>
      <c r="D388" s="94"/>
      <c r="E388" s="142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</row>
    <row r="389" spans="1:26" ht="14.25" customHeight="1" x14ac:dyDescent="0.35">
      <c r="A389" s="94"/>
      <c r="B389" s="127"/>
      <c r="C389" s="94"/>
      <c r="D389" s="94"/>
      <c r="E389" s="142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</row>
    <row r="390" spans="1:26" ht="14.25" customHeight="1" x14ac:dyDescent="0.35">
      <c r="A390" s="94"/>
      <c r="B390" s="127"/>
      <c r="C390" s="94"/>
      <c r="D390" s="94"/>
      <c r="E390" s="142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</row>
    <row r="391" spans="1:26" ht="14.25" customHeight="1" x14ac:dyDescent="0.35">
      <c r="A391" s="94"/>
      <c r="B391" s="127"/>
      <c r="C391" s="94"/>
      <c r="D391" s="94"/>
      <c r="E391" s="142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</row>
    <row r="392" spans="1:26" ht="14.25" customHeight="1" x14ac:dyDescent="0.35">
      <c r="A392" s="94"/>
      <c r="B392" s="127"/>
      <c r="C392" s="94"/>
      <c r="D392" s="94"/>
      <c r="E392" s="142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</row>
    <row r="393" spans="1:26" ht="14.25" customHeight="1" x14ac:dyDescent="0.35">
      <c r="A393" s="94"/>
      <c r="B393" s="127"/>
      <c r="C393" s="94"/>
      <c r="D393" s="94"/>
      <c r="E393" s="142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</row>
    <row r="394" spans="1:26" ht="14.25" customHeight="1" x14ac:dyDescent="0.35">
      <c r="A394" s="94"/>
      <c r="B394" s="127"/>
      <c r="C394" s="94"/>
      <c r="D394" s="94"/>
      <c r="E394" s="142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</row>
    <row r="395" spans="1:26" ht="14.25" customHeight="1" x14ac:dyDescent="0.35">
      <c r="A395" s="94"/>
      <c r="B395" s="127"/>
      <c r="C395" s="94"/>
      <c r="D395" s="94"/>
      <c r="E395" s="142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</row>
    <row r="396" spans="1:26" ht="14.25" customHeight="1" x14ac:dyDescent="0.35">
      <c r="A396" s="94"/>
      <c r="B396" s="127"/>
      <c r="C396" s="94"/>
      <c r="D396" s="94"/>
      <c r="E396" s="142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</row>
    <row r="397" spans="1:26" ht="14.25" customHeight="1" x14ac:dyDescent="0.35">
      <c r="A397" s="94"/>
      <c r="B397" s="127"/>
      <c r="C397" s="94"/>
      <c r="D397" s="94"/>
      <c r="E397" s="142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</row>
    <row r="398" spans="1:26" ht="14.25" customHeight="1" x14ac:dyDescent="0.35">
      <c r="A398" s="94"/>
      <c r="B398" s="127"/>
      <c r="C398" s="94"/>
      <c r="D398" s="94"/>
      <c r="E398" s="142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</row>
    <row r="399" spans="1:26" ht="14.25" customHeight="1" x14ac:dyDescent="0.35">
      <c r="A399" s="94"/>
      <c r="B399" s="127"/>
      <c r="C399" s="94"/>
      <c r="D399" s="94"/>
      <c r="E399" s="142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</row>
    <row r="400" spans="1:26" ht="14.25" customHeight="1" x14ac:dyDescent="0.35">
      <c r="A400" s="94"/>
      <c r="B400" s="127"/>
      <c r="C400" s="94"/>
      <c r="D400" s="94"/>
      <c r="E400" s="142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</row>
    <row r="401" spans="1:26" ht="14.25" customHeight="1" x14ac:dyDescent="0.35">
      <c r="A401" s="94"/>
      <c r="B401" s="127"/>
      <c r="C401" s="94"/>
      <c r="D401" s="94"/>
      <c r="E401" s="142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</row>
    <row r="402" spans="1:26" ht="14.25" customHeight="1" x14ac:dyDescent="0.35">
      <c r="A402" s="94"/>
      <c r="B402" s="127"/>
      <c r="C402" s="94"/>
      <c r="D402" s="94"/>
      <c r="E402" s="142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</row>
    <row r="403" spans="1:26" ht="14.25" customHeight="1" x14ac:dyDescent="0.35">
      <c r="A403" s="94"/>
      <c r="B403" s="127"/>
      <c r="C403" s="94"/>
      <c r="D403" s="94"/>
      <c r="E403" s="142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</row>
    <row r="404" spans="1:26" ht="14.25" customHeight="1" x14ac:dyDescent="0.35">
      <c r="A404" s="94"/>
      <c r="B404" s="127"/>
      <c r="C404" s="94"/>
      <c r="D404" s="94"/>
      <c r="E404" s="142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</row>
    <row r="405" spans="1:26" ht="14.25" customHeight="1" x14ac:dyDescent="0.35">
      <c r="A405" s="94"/>
      <c r="B405" s="127"/>
      <c r="C405" s="94"/>
      <c r="D405" s="94"/>
      <c r="E405" s="142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</row>
    <row r="406" spans="1:26" ht="14.25" customHeight="1" x14ac:dyDescent="0.35">
      <c r="A406" s="94"/>
      <c r="B406" s="127"/>
      <c r="C406" s="94"/>
      <c r="D406" s="94"/>
      <c r="E406" s="142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</row>
    <row r="407" spans="1:26" ht="14.25" customHeight="1" x14ac:dyDescent="0.35">
      <c r="A407" s="94"/>
      <c r="B407" s="127"/>
      <c r="C407" s="94"/>
      <c r="D407" s="94"/>
      <c r="E407" s="142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</row>
    <row r="408" spans="1:26" ht="14.25" customHeight="1" x14ac:dyDescent="0.35">
      <c r="A408" s="94"/>
      <c r="B408" s="127"/>
      <c r="C408" s="94"/>
      <c r="D408" s="94"/>
      <c r="E408" s="142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</row>
    <row r="409" spans="1:26" ht="14.25" customHeight="1" x14ac:dyDescent="0.35">
      <c r="A409" s="94"/>
      <c r="B409" s="127"/>
      <c r="C409" s="94"/>
      <c r="D409" s="94"/>
      <c r="E409" s="142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</row>
    <row r="410" spans="1:26" ht="14.25" customHeight="1" x14ac:dyDescent="0.35">
      <c r="A410" s="94"/>
      <c r="B410" s="127"/>
      <c r="C410" s="94"/>
      <c r="D410" s="94"/>
      <c r="E410" s="142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</row>
    <row r="411" spans="1:26" ht="14.25" customHeight="1" x14ac:dyDescent="0.35">
      <c r="A411" s="94"/>
      <c r="B411" s="127"/>
      <c r="C411" s="94"/>
      <c r="D411" s="94"/>
      <c r="E411" s="142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</row>
    <row r="412" spans="1:26" ht="14.25" customHeight="1" x14ac:dyDescent="0.35">
      <c r="A412" s="94"/>
      <c r="B412" s="127"/>
      <c r="C412" s="94"/>
      <c r="D412" s="94"/>
      <c r="E412" s="142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</row>
    <row r="413" spans="1:26" ht="14.25" customHeight="1" x14ac:dyDescent="0.35">
      <c r="A413" s="94"/>
      <c r="B413" s="127"/>
      <c r="C413" s="94"/>
      <c r="D413" s="94"/>
      <c r="E413" s="142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</row>
    <row r="414" spans="1:26" ht="14.25" customHeight="1" x14ac:dyDescent="0.35">
      <c r="A414" s="94"/>
      <c r="B414" s="127"/>
      <c r="C414" s="94"/>
      <c r="D414" s="94"/>
      <c r="E414" s="142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</row>
    <row r="415" spans="1:26" ht="14.25" customHeight="1" x14ac:dyDescent="0.35">
      <c r="A415" s="94"/>
      <c r="B415" s="127"/>
      <c r="C415" s="94"/>
      <c r="D415" s="94"/>
      <c r="E415" s="142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</row>
    <row r="416" spans="1:26" ht="14.25" customHeight="1" x14ac:dyDescent="0.35">
      <c r="A416" s="94"/>
      <c r="B416" s="127"/>
      <c r="C416" s="94"/>
      <c r="D416" s="94"/>
      <c r="E416" s="142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</row>
    <row r="417" spans="1:26" ht="14.25" customHeight="1" x14ac:dyDescent="0.35">
      <c r="A417" s="94"/>
      <c r="B417" s="127"/>
      <c r="C417" s="94"/>
      <c r="D417" s="94"/>
      <c r="E417" s="142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</row>
    <row r="418" spans="1:26" ht="14.25" customHeight="1" x14ac:dyDescent="0.35">
      <c r="A418" s="94"/>
      <c r="B418" s="127"/>
      <c r="C418" s="94"/>
      <c r="D418" s="94"/>
      <c r="E418" s="142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</row>
    <row r="419" spans="1:26" ht="14.25" customHeight="1" x14ac:dyDescent="0.35">
      <c r="A419" s="94"/>
      <c r="B419" s="127"/>
      <c r="C419" s="94"/>
      <c r="D419" s="94"/>
      <c r="E419" s="142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</row>
    <row r="420" spans="1:26" ht="14.25" customHeight="1" x14ac:dyDescent="0.35">
      <c r="A420" s="94"/>
      <c r="B420" s="127"/>
      <c r="C420" s="94"/>
      <c r="D420" s="94"/>
      <c r="E420" s="142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</row>
    <row r="421" spans="1:26" ht="14.25" customHeight="1" x14ac:dyDescent="0.35">
      <c r="A421" s="94"/>
      <c r="B421" s="127"/>
      <c r="C421" s="94"/>
      <c r="D421" s="94"/>
      <c r="E421" s="142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</row>
    <row r="422" spans="1:26" ht="14.25" customHeight="1" x14ac:dyDescent="0.35">
      <c r="A422" s="94"/>
      <c r="B422" s="127"/>
      <c r="C422" s="94"/>
      <c r="D422" s="94"/>
      <c r="E422" s="142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</row>
    <row r="423" spans="1:26" ht="14.25" customHeight="1" x14ac:dyDescent="0.35">
      <c r="A423" s="94"/>
      <c r="B423" s="127"/>
      <c r="C423" s="94"/>
      <c r="D423" s="94"/>
      <c r="E423" s="142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</row>
    <row r="424" spans="1:26" ht="14.25" customHeight="1" x14ac:dyDescent="0.35">
      <c r="A424" s="94"/>
      <c r="B424" s="127"/>
      <c r="C424" s="94"/>
      <c r="D424" s="94"/>
      <c r="E424" s="142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</row>
    <row r="425" spans="1:26" ht="14.25" customHeight="1" x14ac:dyDescent="0.35">
      <c r="A425" s="94"/>
      <c r="B425" s="127"/>
      <c r="C425" s="94"/>
      <c r="D425" s="94"/>
      <c r="E425" s="142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</row>
    <row r="426" spans="1:26" ht="14.25" customHeight="1" x14ac:dyDescent="0.35">
      <c r="A426" s="94"/>
      <c r="B426" s="127"/>
      <c r="C426" s="94"/>
      <c r="D426" s="94"/>
      <c r="E426" s="142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</row>
    <row r="427" spans="1:26" ht="14.25" customHeight="1" x14ac:dyDescent="0.35">
      <c r="A427" s="94"/>
      <c r="B427" s="127"/>
      <c r="C427" s="94"/>
      <c r="D427" s="94"/>
      <c r="E427" s="142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</row>
    <row r="428" spans="1:26" ht="14.25" customHeight="1" x14ac:dyDescent="0.35">
      <c r="A428" s="94"/>
      <c r="B428" s="127"/>
      <c r="C428" s="94"/>
      <c r="D428" s="94"/>
      <c r="E428" s="142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</row>
    <row r="429" spans="1:26" ht="14.25" customHeight="1" x14ac:dyDescent="0.35">
      <c r="A429" s="94"/>
      <c r="B429" s="127"/>
      <c r="C429" s="94"/>
      <c r="D429" s="94"/>
      <c r="E429" s="142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</row>
    <row r="430" spans="1:26" ht="14.25" customHeight="1" x14ac:dyDescent="0.35">
      <c r="A430" s="94"/>
      <c r="B430" s="127"/>
      <c r="C430" s="94"/>
      <c r="D430" s="94"/>
      <c r="E430" s="142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</row>
    <row r="431" spans="1:26" ht="14.25" customHeight="1" x14ac:dyDescent="0.35">
      <c r="A431" s="94"/>
      <c r="B431" s="127"/>
      <c r="C431" s="94"/>
      <c r="D431" s="94"/>
      <c r="E431" s="142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</row>
    <row r="432" spans="1:26" ht="14.25" customHeight="1" x14ac:dyDescent="0.35">
      <c r="A432" s="94"/>
      <c r="B432" s="127"/>
      <c r="C432" s="94"/>
      <c r="D432" s="94"/>
      <c r="E432" s="142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</row>
    <row r="433" spans="1:26" ht="14.25" customHeight="1" x14ac:dyDescent="0.35">
      <c r="A433" s="94"/>
      <c r="B433" s="127"/>
      <c r="C433" s="94"/>
      <c r="D433" s="94"/>
      <c r="E433" s="142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</row>
    <row r="434" spans="1:26" ht="14.25" customHeight="1" x14ac:dyDescent="0.35">
      <c r="A434" s="94"/>
      <c r="B434" s="127"/>
      <c r="C434" s="94"/>
      <c r="D434" s="94"/>
      <c r="E434" s="142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</row>
    <row r="435" spans="1:26" ht="14.25" customHeight="1" x14ac:dyDescent="0.35">
      <c r="A435" s="94"/>
      <c r="B435" s="127"/>
      <c r="C435" s="94"/>
      <c r="D435" s="94"/>
      <c r="E435" s="142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</row>
    <row r="436" spans="1:26" ht="14.25" customHeight="1" x14ac:dyDescent="0.35">
      <c r="A436" s="94"/>
      <c r="B436" s="127"/>
      <c r="C436" s="94"/>
      <c r="D436" s="94"/>
      <c r="E436" s="142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</row>
    <row r="437" spans="1:26" ht="14.25" customHeight="1" x14ac:dyDescent="0.35">
      <c r="A437" s="94"/>
      <c r="B437" s="127"/>
      <c r="C437" s="94"/>
      <c r="D437" s="94"/>
      <c r="E437" s="142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</row>
    <row r="438" spans="1:26" ht="14.25" customHeight="1" x14ac:dyDescent="0.35">
      <c r="A438" s="94"/>
      <c r="B438" s="127"/>
      <c r="C438" s="94"/>
      <c r="D438" s="94"/>
      <c r="E438" s="142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</row>
    <row r="439" spans="1:26" ht="14.25" customHeight="1" x14ac:dyDescent="0.35">
      <c r="A439" s="94"/>
      <c r="B439" s="127"/>
      <c r="C439" s="94"/>
      <c r="D439" s="94"/>
      <c r="E439" s="142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</row>
    <row r="440" spans="1:26" ht="14.25" customHeight="1" x14ac:dyDescent="0.35">
      <c r="A440" s="94"/>
      <c r="B440" s="127"/>
      <c r="C440" s="94"/>
      <c r="D440" s="94"/>
      <c r="E440" s="142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</row>
    <row r="441" spans="1:26" ht="14.25" customHeight="1" x14ac:dyDescent="0.35">
      <c r="A441" s="94"/>
      <c r="B441" s="127"/>
      <c r="C441" s="94"/>
      <c r="D441" s="94"/>
      <c r="E441" s="142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</row>
    <row r="442" spans="1:26" ht="14.25" customHeight="1" x14ac:dyDescent="0.35">
      <c r="A442" s="94"/>
      <c r="B442" s="127"/>
      <c r="C442" s="94"/>
      <c r="D442" s="94"/>
      <c r="E442" s="142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</row>
    <row r="443" spans="1:26" ht="14.25" customHeight="1" x14ac:dyDescent="0.35">
      <c r="A443" s="94"/>
      <c r="B443" s="127"/>
      <c r="C443" s="94"/>
      <c r="D443" s="94"/>
      <c r="E443" s="142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</row>
    <row r="444" spans="1:26" ht="14.25" customHeight="1" x14ac:dyDescent="0.35">
      <c r="A444" s="94"/>
      <c r="B444" s="127"/>
      <c r="C444" s="94"/>
      <c r="D444" s="94"/>
      <c r="E444" s="142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</row>
    <row r="445" spans="1:26" ht="14.25" customHeight="1" x14ac:dyDescent="0.35">
      <c r="A445" s="94"/>
      <c r="B445" s="127"/>
      <c r="C445" s="94"/>
      <c r="D445" s="94"/>
      <c r="E445" s="142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</row>
    <row r="446" spans="1:26" ht="14.25" customHeight="1" x14ac:dyDescent="0.35">
      <c r="A446" s="94"/>
      <c r="B446" s="127"/>
      <c r="C446" s="94"/>
      <c r="D446" s="94"/>
      <c r="E446" s="142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</row>
    <row r="447" spans="1:26" ht="14.25" customHeight="1" x14ac:dyDescent="0.35">
      <c r="A447" s="94"/>
      <c r="B447" s="127"/>
      <c r="C447" s="94"/>
      <c r="D447" s="94"/>
      <c r="E447" s="142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</row>
    <row r="448" spans="1:26" ht="14.25" customHeight="1" x14ac:dyDescent="0.35">
      <c r="A448" s="94"/>
      <c r="B448" s="127"/>
      <c r="C448" s="94"/>
      <c r="D448" s="94"/>
      <c r="E448" s="142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</row>
    <row r="449" spans="1:26" ht="14.25" customHeight="1" x14ac:dyDescent="0.35">
      <c r="A449" s="94"/>
      <c r="B449" s="127"/>
      <c r="C449" s="94"/>
      <c r="D449" s="94"/>
      <c r="E449" s="142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</row>
    <row r="450" spans="1:26" ht="14.25" customHeight="1" x14ac:dyDescent="0.35">
      <c r="A450" s="94"/>
      <c r="B450" s="127"/>
      <c r="C450" s="94"/>
      <c r="D450" s="94"/>
      <c r="E450" s="142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</row>
    <row r="451" spans="1:26" ht="14.25" customHeight="1" x14ac:dyDescent="0.35">
      <c r="A451" s="94"/>
      <c r="B451" s="127"/>
      <c r="C451" s="94"/>
      <c r="D451" s="94"/>
      <c r="E451" s="142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</row>
    <row r="452" spans="1:26" ht="14.25" customHeight="1" x14ac:dyDescent="0.35">
      <c r="A452" s="94"/>
      <c r="B452" s="127"/>
      <c r="C452" s="94"/>
      <c r="D452" s="94"/>
      <c r="E452" s="142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</row>
    <row r="453" spans="1:26" ht="14.25" customHeight="1" x14ac:dyDescent="0.35">
      <c r="A453" s="94"/>
      <c r="B453" s="127"/>
      <c r="C453" s="94"/>
      <c r="D453" s="94"/>
      <c r="E453" s="142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</row>
    <row r="454" spans="1:26" ht="14.25" customHeight="1" x14ac:dyDescent="0.35">
      <c r="A454" s="94"/>
      <c r="B454" s="127"/>
      <c r="C454" s="94"/>
      <c r="D454" s="94"/>
      <c r="E454" s="142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</row>
    <row r="455" spans="1:26" ht="14.25" customHeight="1" x14ac:dyDescent="0.35">
      <c r="A455" s="94"/>
      <c r="B455" s="127"/>
      <c r="C455" s="94"/>
      <c r="D455" s="94"/>
      <c r="E455" s="142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</row>
    <row r="456" spans="1:26" ht="14.25" customHeight="1" x14ac:dyDescent="0.35">
      <c r="A456" s="94"/>
      <c r="B456" s="127"/>
      <c r="C456" s="94"/>
      <c r="D456" s="94"/>
      <c r="E456" s="142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</row>
    <row r="457" spans="1:26" ht="14.25" customHeight="1" x14ac:dyDescent="0.35">
      <c r="A457" s="94"/>
      <c r="B457" s="127"/>
      <c r="C457" s="94"/>
      <c r="D457" s="94"/>
      <c r="E457" s="142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</row>
    <row r="458" spans="1:26" ht="14.25" customHeight="1" x14ac:dyDescent="0.35">
      <c r="A458" s="94"/>
      <c r="B458" s="127"/>
      <c r="C458" s="94"/>
      <c r="D458" s="94"/>
      <c r="E458" s="142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</row>
    <row r="459" spans="1:26" ht="14.25" customHeight="1" x14ac:dyDescent="0.35">
      <c r="A459" s="94"/>
      <c r="B459" s="127"/>
      <c r="C459" s="94"/>
      <c r="D459" s="94"/>
      <c r="E459" s="142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</row>
    <row r="460" spans="1:26" ht="14.25" customHeight="1" x14ac:dyDescent="0.35">
      <c r="A460" s="94"/>
      <c r="B460" s="127"/>
      <c r="C460" s="94"/>
      <c r="D460" s="94"/>
      <c r="E460" s="142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</row>
    <row r="461" spans="1:26" ht="14.25" customHeight="1" x14ac:dyDescent="0.35">
      <c r="A461" s="94"/>
      <c r="B461" s="127"/>
      <c r="C461" s="94"/>
      <c r="D461" s="94"/>
      <c r="E461" s="142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</row>
    <row r="462" spans="1:26" ht="14.25" customHeight="1" x14ac:dyDescent="0.35">
      <c r="A462" s="94"/>
      <c r="B462" s="127"/>
      <c r="C462" s="94"/>
      <c r="D462" s="94"/>
      <c r="E462" s="142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</row>
    <row r="463" spans="1:26" ht="14.25" customHeight="1" x14ac:dyDescent="0.35">
      <c r="A463" s="94"/>
      <c r="B463" s="127"/>
      <c r="C463" s="94"/>
      <c r="D463" s="94"/>
      <c r="E463" s="142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</row>
    <row r="464" spans="1:26" ht="14.25" customHeight="1" x14ac:dyDescent="0.35">
      <c r="A464" s="94"/>
      <c r="B464" s="127"/>
      <c r="C464" s="94"/>
      <c r="D464" s="94"/>
      <c r="E464" s="142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</row>
    <row r="465" spans="1:26" ht="14.25" customHeight="1" x14ac:dyDescent="0.35">
      <c r="A465" s="94"/>
      <c r="B465" s="127"/>
      <c r="C465" s="94"/>
      <c r="D465" s="94"/>
      <c r="E465" s="142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</row>
    <row r="466" spans="1:26" ht="14.25" customHeight="1" x14ac:dyDescent="0.35">
      <c r="A466" s="94"/>
      <c r="B466" s="127"/>
      <c r="C466" s="94"/>
      <c r="D466" s="94"/>
      <c r="E466" s="142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</row>
    <row r="467" spans="1:26" ht="14.25" customHeight="1" x14ac:dyDescent="0.35">
      <c r="A467" s="94"/>
      <c r="B467" s="127"/>
      <c r="C467" s="94"/>
      <c r="D467" s="94"/>
      <c r="E467" s="142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</row>
    <row r="468" spans="1:26" ht="14.25" customHeight="1" x14ac:dyDescent="0.35">
      <c r="A468" s="94"/>
      <c r="B468" s="127"/>
      <c r="C468" s="94"/>
      <c r="D468" s="94"/>
      <c r="E468" s="142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</row>
    <row r="469" spans="1:26" ht="14.25" customHeight="1" x14ac:dyDescent="0.35">
      <c r="A469" s="94"/>
      <c r="B469" s="127"/>
      <c r="C469" s="94"/>
      <c r="D469" s="94"/>
      <c r="E469" s="142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</row>
    <row r="470" spans="1:26" ht="14.25" customHeight="1" x14ac:dyDescent="0.35">
      <c r="A470" s="94"/>
      <c r="B470" s="127"/>
      <c r="C470" s="94"/>
      <c r="D470" s="94"/>
      <c r="E470" s="142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</row>
    <row r="471" spans="1:26" ht="14.25" customHeight="1" x14ac:dyDescent="0.35">
      <c r="A471" s="94"/>
      <c r="B471" s="127"/>
      <c r="C471" s="94"/>
      <c r="D471" s="94"/>
      <c r="E471" s="142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</row>
    <row r="472" spans="1:26" ht="14.25" customHeight="1" x14ac:dyDescent="0.35">
      <c r="A472" s="94"/>
      <c r="B472" s="127"/>
      <c r="C472" s="94"/>
      <c r="D472" s="94"/>
      <c r="E472" s="142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</row>
    <row r="473" spans="1:26" ht="14.25" customHeight="1" x14ac:dyDescent="0.35">
      <c r="A473" s="94"/>
      <c r="B473" s="127"/>
      <c r="C473" s="94"/>
      <c r="D473" s="94"/>
      <c r="E473" s="142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</row>
    <row r="474" spans="1:26" ht="14.25" customHeight="1" x14ac:dyDescent="0.35">
      <c r="A474" s="94"/>
      <c r="B474" s="127"/>
      <c r="C474" s="94"/>
      <c r="D474" s="94"/>
      <c r="E474" s="142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</row>
    <row r="475" spans="1:26" ht="14.25" customHeight="1" x14ac:dyDescent="0.35">
      <c r="A475" s="94"/>
      <c r="B475" s="127"/>
      <c r="C475" s="94"/>
      <c r="D475" s="94"/>
      <c r="E475" s="142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</row>
    <row r="476" spans="1:26" ht="14.25" customHeight="1" x14ac:dyDescent="0.35">
      <c r="A476" s="94"/>
      <c r="B476" s="127"/>
      <c r="C476" s="94"/>
      <c r="D476" s="94"/>
      <c r="E476" s="142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</row>
    <row r="477" spans="1:26" ht="14.25" customHeight="1" x14ac:dyDescent="0.35">
      <c r="A477" s="94"/>
      <c r="B477" s="127"/>
      <c r="C477" s="94"/>
      <c r="D477" s="94"/>
      <c r="E477" s="142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</row>
    <row r="478" spans="1:26" ht="14.25" customHeight="1" x14ac:dyDescent="0.35">
      <c r="A478" s="94"/>
      <c r="B478" s="127"/>
      <c r="C478" s="94"/>
      <c r="D478" s="94"/>
      <c r="E478" s="142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</row>
    <row r="479" spans="1:26" ht="14.25" customHeight="1" x14ac:dyDescent="0.35">
      <c r="A479" s="94"/>
      <c r="B479" s="127"/>
      <c r="C479" s="94"/>
      <c r="D479" s="94"/>
      <c r="E479" s="142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</row>
    <row r="480" spans="1:26" ht="14.25" customHeight="1" x14ac:dyDescent="0.35">
      <c r="A480" s="94"/>
      <c r="B480" s="127"/>
      <c r="C480" s="94"/>
      <c r="D480" s="94"/>
      <c r="E480" s="142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</row>
    <row r="481" spans="1:26" ht="14.25" customHeight="1" x14ac:dyDescent="0.35">
      <c r="A481" s="94"/>
      <c r="B481" s="127"/>
      <c r="C481" s="94"/>
      <c r="D481" s="94"/>
      <c r="E481" s="142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</row>
    <row r="482" spans="1:26" ht="14.25" customHeight="1" x14ac:dyDescent="0.35">
      <c r="A482" s="94"/>
      <c r="B482" s="127"/>
      <c r="C482" s="94"/>
      <c r="D482" s="94"/>
      <c r="E482" s="142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</row>
    <row r="483" spans="1:26" ht="14.25" customHeight="1" x14ac:dyDescent="0.35">
      <c r="A483" s="94"/>
      <c r="B483" s="127"/>
      <c r="C483" s="94"/>
      <c r="D483" s="94"/>
      <c r="E483" s="142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</row>
    <row r="484" spans="1:26" ht="14.25" customHeight="1" x14ac:dyDescent="0.35">
      <c r="A484" s="94"/>
      <c r="B484" s="127"/>
      <c r="C484" s="94"/>
      <c r="D484" s="94"/>
      <c r="E484" s="142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</row>
    <row r="485" spans="1:26" ht="14.25" customHeight="1" x14ac:dyDescent="0.35">
      <c r="A485" s="94"/>
      <c r="B485" s="127"/>
      <c r="C485" s="94"/>
      <c r="D485" s="94"/>
      <c r="E485" s="142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</row>
    <row r="486" spans="1:26" ht="14.25" customHeight="1" x14ac:dyDescent="0.35">
      <c r="A486" s="94"/>
      <c r="B486" s="127"/>
      <c r="C486" s="94"/>
      <c r="D486" s="94"/>
      <c r="E486" s="142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</row>
    <row r="487" spans="1:26" ht="14.25" customHeight="1" x14ac:dyDescent="0.35">
      <c r="A487" s="94"/>
      <c r="B487" s="127"/>
      <c r="C487" s="94"/>
      <c r="D487" s="94"/>
      <c r="E487" s="142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</row>
    <row r="488" spans="1:26" ht="14.25" customHeight="1" x14ac:dyDescent="0.35">
      <c r="A488" s="94"/>
      <c r="B488" s="127"/>
      <c r="C488" s="94"/>
      <c r="D488" s="94"/>
      <c r="E488" s="142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</row>
    <row r="489" spans="1:26" ht="14.25" customHeight="1" x14ac:dyDescent="0.35">
      <c r="A489" s="94"/>
      <c r="B489" s="127"/>
      <c r="C489" s="94"/>
      <c r="D489" s="94"/>
      <c r="E489" s="142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</row>
    <row r="490" spans="1:26" ht="14.25" customHeight="1" x14ac:dyDescent="0.35">
      <c r="A490" s="94"/>
      <c r="B490" s="127"/>
      <c r="C490" s="94"/>
      <c r="D490" s="94"/>
      <c r="E490" s="142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</row>
    <row r="491" spans="1:26" ht="14.25" customHeight="1" x14ac:dyDescent="0.35">
      <c r="A491" s="94"/>
      <c r="B491" s="127"/>
      <c r="C491" s="94"/>
      <c r="D491" s="94"/>
      <c r="E491" s="142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</row>
    <row r="492" spans="1:26" ht="14.25" customHeight="1" x14ac:dyDescent="0.35">
      <c r="A492" s="94"/>
      <c r="B492" s="127"/>
      <c r="C492" s="94"/>
      <c r="D492" s="94"/>
      <c r="E492" s="142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</row>
    <row r="493" spans="1:26" ht="14.25" customHeight="1" x14ac:dyDescent="0.35">
      <c r="A493" s="94"/>
      <c r="B493" s="127"/>
      <c r="C493" s="94"/>
      <c r="D493" s="94"/>
      <c r="E493" s="142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</row>
    <row r="494" spans="1:26" ht="14.25" customHeight="1" x14ac:dyDescent="0.35">
      <c r="A494" s="94"/>
      <c r="B494" s="127"/>
      <c r="C494" s="94"/>
      <c r="D494" s="94"/>
      <c r="E494" s="142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</row>
    <row r="495" spans="1:26" ht="14.25" customHeight="1" x14ac:dyDescent="0.35">
      <c r="A495" s="94"/>
      <c r="B495" s="127"/>
      <c r="C495" s="94"/>
      <c r="D495" s="94"/>
      <c r="E495" s="142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</row>
    <row r="496" spans="1:26" ht="14.25" customHeight="1" x14ac:dyDescent="0.35">
      <c r="A496" s="94"/>
      <c r="B496" s="127"/>
      <c r="C496" s="94"/>
      <c r="D496" s="94"/>
      <c r="E496" s="142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</row>
    <row r="497" spans="1:26" ht="14.25" customHeight="1" x14ac:dyDescent="0.35">
      <c r="A497" s="94"/>
      <c r="B497" s="127"/>
      <c r="C497" s="94"/>
      <c r="D497" s="94"/>
      <c r="E497" s="142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</row>
    <row r="498" spans="1:26" ht="14.25" customHeight="1" x14ac:dyDescent="0.35">
      <c r="A498" s="94"/>
      <c r="B498" s="127"/>
      <c r="C498" s="94"/>
      <c r="D498" s="94"/>
      <c r="E498" s="142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</row>
    <row r="499" spans="1:26" ht="14.25" customHeight="1" x14ac:dyDescent="0.35">
      <c r="A499" s="94"/>
      <c r="B499" s="127"/>
      <c r="C499" s="94"/>
      <c r="D499" s="94"/>
      <c r="E499" s="142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</row>
    <row r="500" spans="1:26" ht="14.25" customHeight="1" x14ac:dyDescent="0.35">
      <c r="A500" s="94"/>
      <c r="B500" s="127"/>
      <c r="C500" s="94"/>
      <c r="D500" s="94"/>
      <c r="E500" s="142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</row>
    <row r="501" spans="1:26" ht="14.25" customHeight="1" x14ac:dyDescent="0.35">
      <c r="A501" s="94"/>
      <c r="B501" s="127"/>
      <c r="C501" s="94"/>
      <c r="D501" s="94"/>
      <c r="E501" s="142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</row>
    <row r="502" spans="1:26" ht="14.25" customHeight="1" x14ac:dyDescent="0.35">
      <c r="A502" s="94"/>
      <c r="B502" s="127"/>
      <c r="C502" s="94"/>
      <c r="D502" s="94"/>
      <c r="E502" s="142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</row>
    <row r="503" spans="1:26" ht="14.25" customHeight="1" x14ac:dyDescent="0.35">
      <c r="A503" s="94"/>
      <c r="B503" s="127"/>
      <c r="C503" s="94"/>
      <c r="D503" s="94"/>
      <c r="E503" s="142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</row>
    <row r="504" spans="1:26" ht="14.25" customHeight="1" x14ac:dyDescent="0.35">
      <c r="A504" s="94"/>
      <c r="B504" s="127"/>
      <c r="C504" s="94"/>
      <c r="D504" s="94"/>
      <c r="E504" s="142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</row>
    <row r="505" spans="1:26" ht="14.25" customHeight="1" x14ac:dyDescent="0.35">
      <c r="A505" s="94"/>
      <c r="B505" s="127"/>
      <c r="C505" s="94"/>
      <c r="D505" s="94"/>
      <c r="E505" s="142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</row>
    <row r="506" spans="1:26" ht="14.25" customHeight="1" x14ac:dyDescent="0.35">
      <c r="A506" s="94"/>
      <c r="B506" s="127"/>
      <c r="C506" s="94"/>
      <c r="D506" s="94"/>
      <c r="E506" s="142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</row>
    <row r="507" spans="1:26" ht="14.25" customHeight="1" x14ac:dyDescent="0.35">
      <c r="A507" s="94"/>
      <c r="B507" s="127"/>
      <c r="C507" s="94"/>
      <c r="D507" s="94"/>
      <c r="E507" s="142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</row>
    <row r="508" spans="1:26" ht="14.25" customHeight="1" x14ac:dyDescent="0.35">
      <c r="A508" s="94"/>
      <c r="B508" s="127"/>
      <c r="C508" s="94"/>
      <c r="D508" s="94"/>
      <c r="E508" s="142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</row>
    <row r="509" spans="1:26" ht="14.25" customHeight="1" x14ac:dyDescent="0.35">
      <c r="A509" s="94"/>
      <c r="B509" s="127"/>
      <c r="C509" s="94"/>
      <c r="D509" s="94"/>
      <c r="E509" s="142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</row>
    <row r="510" spans="1:26" ht="14.25" customHeight="1" x14ac:dyDescent="0.35">
      <c r="A510" s="94"/>
      <c r="B510" s="127"/>
      <c r="C510" s="94"/>
      <c r="D510" s="94"/>
      <c r="E510" s="142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</row>
    <row r="511" spans="1:26" ht="14.25" customHeight="1" x14ac:dyDescent="0.35">
      <c r="A511" s="94"/>
      <c r="B511" s="127"/>
      <c r="C511" s="94"/>
      <c r="D511" s="94"/>
      <c r="E511" s="142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</row>
    <row r="512" spans="1:26" ht="14.25" customHeight="1" x14ac:dyDescent="0.35">
      <c r="A512" s="94"/>
      <c r="B512" s="127"/>
      <c r="C512" s="94"/>
      <c r="D512" s="94"/>
      <c r="E512" s="142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</row>
    <row r="513" spans="1:26" ht="14.25" customHeight="1" x14ac:dyDescent="0.35">
      <c r="A513" s="94"/>
      <c r="B513" s="127"/>
      <c r="C513" s="94"/>
      <c r="D513" s="94"/>
      <c r="E513" s="142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</row>
    <row r="514" spans="1:26" ht="14.25" customHeight="1" x14ac:dyDescent="0.35">
      <c r="A514" s="94"/>
      <c r="B514" s="127"/>
      <c r="C514" s="94"/>
      <c r="D514" s="94"/>
      <c r="E514" s="142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</row>
    <row r="515" spans="1:26" ht="14.25" customHeight="1" x14ac:dyDescent="0.35">
      <c r="A515" s="94"/>
      <c r="B515" s="127"/>
      <c r="C515" s="94"/>
      <c r="D515" s="94"/>
      <c r="E515" s="142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</row>
    <row r="516" spans="1:26" ht="14.25" customHeight="1" x14ac:dyDescent="0.35">
      <c r="A516" s="94"/>
      <c r="B516" s="127"/>
      <c r="C516" s="94"/>
      <c r="D516" s="94"/>
      <c r="E516" s="142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</row>
    <row r="517" spans="1:26" ht="14.25" customHeight="1" x14ac:dyDescent="0.35">
      <c r="A517" s="94"/>
      <c r="B517" s="127"/>
      <c r="C517" s="94"/>
      <c r="D517" s="94"/>
      <c r="E517" s="142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</row>
    <row r="518" spans="1:26" ht="14.25" customHeight="1" x14ac:dyDescent="0.35">
      <c r="A518" s="94"/>
      <c r="B518" s="127"/>
      <c r="C518" s="94"/>
      <c r="D518" s="94"/>
      <c r="E518" s="142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</row>
    <row r="519" spans="1:26" ht="14.25" customHeight="1" x14ac:dyDescent="0.35">
      <c r="A519" s="94"/>
      <c r="B519" s="127"/>
      <c r="C519" s="94"/>
      <c r="D519" s="94"/>
      <c r="E519" s="142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</row>
    <row r="520" spans="1:26" ht="14.25" customHeight="1" x14ac:dyDescent="0.35">
      <c r="A520" s="94"/>
      <c r="B520" s="127"/>
      <c r="C520" s="94"/>
      <c r="D520" s="94"/>
      <c r="E520" s="142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</row>
    <row r="521" spans="1:26" ht="14.25" customHeight="1" x14ac:dyDescent="0.35">
      <c r="A521" s="94"/>
      <c r="B521" s="127"/>
      <c r="C521" s="94"/>
      <c r="D521" s="94"/>
      <c r="E521" s="142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</row>
    <row r="522" spans="1:26" ht="14.25" customHeight="1" x14ac:dyDescent="0.35">
      <c r="A522" s="94"/>
      <c r="B522" s="127"/>
      <c r="C522" s="94"/>
      <c r="D522" s="94"/>
      <c r="E522" s="142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</row>
    <row r="523" spans="1:26" ht="14.25" customHeight="1" x14ac:dyDescent="0.35">
      <c r="A523" s="94"/>
      <c r="B523" s="127"/>
      <c r="C523" s="94"/>
      <c r="D523" s="94"/>
      <c r="E523" s="142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</row>
    <row r="524" spans="1:26" ht="14.25" customHeight="1" x14ac:dyDescent="0.35">
      <c r="A524" s="94"/>
      <c r="B524" s="127"/>
      <c r="C524" s="94"/>
      <c r="D524" s="94"/>
      <c r="E524" s="142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</row>
    <row r="525" spans="1:26" ht="14.25" customHeight="1" x14ac:dyDescent="0.35">
      <c r="A525" s="94"/>
      <c r="B525" s="127"/>
      <c r="C525" s="94"/>
      <c r="D525" s="94"/>
      <c r="E525" s="142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</row>
    <row r="526" spans="1:26" ht="14.25" customHeight="1" x14ac:dyDescent="0.35">
      <c r="A526" s="94"/>
      <c r="B526" s="127"/>
      <c r="C526" s="94"/>
      <c r="D526" s="94"/>
      <c r="E526" s="142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</row>
    <row r="527" spans="1:26" ht="14.25" customHeight="1" x14ac:dyDescent="0.35">
      <c r="A527" s="94"/>
      <c r="B527" s="127"/>
      <c r="C527" s="94"/>
      <c r="D527" s="94"/>
      <c r="E527" s="142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</row>
    <row r="528" spans="1:26" ht="14.25" customHeight="1" x14ac:dyDescent="0.35">
      <c r="A528" s="94"/>
      <c r="B528" s="127"/>
      <c r="C528" s="94"/>
      <c r="D528" s="94"/>
      <c r="E528" s="142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</row>
    <row r="529" spans="1:26" ht="14.25" customHeight="1" x14ac:dyDescent="0.35">
      <c r="A529" s="94"/>
      <c r="B529" s="127"/>
      <c r="C529" s="94"/>
      <c r="D529" s="94"/>
      <c r="E529" s="142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</row>
    <row r="530" spans="1:26" ht="14.25" customHeight="1" x14ac:dyDescent="0.35">
      <c r="A530" s="94"/>
      <c r="B530" s="127"/>
      <c r="C530" s="94"/>
      <c r="D530" s="94"/>
      <c r="E530" s="142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</row>
    <row r="531" spans="1:26" ht="14.25" customHeight="1" x14ac:dyDescent="0.35">
      <c r="A531" s="94"/>
      <c r="B531" s="127"/>
      <c r="C531" s="94"/>
      <c r="D531" s="94"/>
      <c r="E531" s="142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</row>
    <row r="532" spans="1:26" ht="14.25" customHeight="1" x14ac:dyDescent="0.35">
      <c r="A532" s="94"/>
      <c r="B532" s="127"/>
      <c r="C532" s="94"/>
      <c r="D532" s="94"/>
      <c r="E532" s="142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</row>
    <row r="533" spans="1:26" ht="14.25" customHeight="1" x14ac:dyDescent="0.35">
      <c r="A533" s="94"/>
      <c r="B533" s="127"/>
      <c r="C533" s="94"/>
      <c r="D533" s="94"/>
      <c r="E533" s="142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</row>
    <row r="534" spans="1:26" ht="14.25" customHeight="1" x14ac:dyDescent="0.35">
      <c r="A534" s="94"/>
      <c r="B534" s="127"/>
      <c r="C534" s="94"/>
      <c r="D534" s="94"/>
      <c r="E534" s="142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</row>
    <row r="535" spans="1:26" ht="14.25" customHeight="1" x14ac:dyDescent="0.35">
      <c r="A535" s="94"/>
      <c r="B535" s="127"/>
      <c r="C535" s="94"/>
      <c r="D535" s="94"/>
      <c r="E535" s="142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</row>
    <row r="536" spans="1:26" ht="14.25" customHeight="1" x14ac:dyDescent="0.35">
      <c r="A536" s="94"/>
      <c r="B536" s="127"/>
      <c r="C536" s="94"/>
      <c r="D536" s="94"/>
      <c r="E536" s="142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</row>
    <row r="537" spans="1:26" ht="14.25" customHeight="1" x14ac:dyDescent="0.35">
      <c r="A537" s="94"/>
      <c r="B537" s="127"/>
      <c r="C537" s="94"/>
      <c r="D537" s="94"/>
      <c r="E537" s="142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</row>
    <row r="538" spans="1:26" ht="14.25" customHeight="1" x14ac:dyDescent="0.35">
      <c r="A538" s="94"/>
      <c r="B538" s="127"/>
      <c r="C538" s="94"/>
      <c r="D538" s="94"/>
      <c r="E538" s="142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</row>
    <row r="539" spans="1:26" ht="14.25" customHeight="1" x14ac:dyDescent="0.35">
      <c r="A539" s="94"/>
      <c r="B539" s="127"/>
      <c r="C539" s="94"/>
      <c r="D539" s="94"/>
      <c r="E539" s="142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</row>
    <row r="540" spans="1:26" ht="14.25" customHeight="1" x14ac:dyDescent="0.35">
      <c r="A540" s="94"/>
      <c r="B540" s="127"/>
      <c r="C540" s="94"/>
      <c r="D540" s="94"/>
      <c r="E540" s="142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</row>
    <row r="541" spans="1:26" ht="14.25" customHeight="1" x14ac:dyDescent="0.35">
      <c r="A541" s="94"/>
      <c r="B541" s="127"/>
      <c r="C541" s="94"/>
      <c r="D541" s="94"/>
      <c r="E541" s="142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</row>
    <row r="542" spans="1:26" ht="14.25" customHeight="1" x14ac:dyDescent="0.35">
      <c r="A542" s="94"/>
      <c r="B542" s="127"/>
      <c r="C542" s="94"/>
      <c r="D542" s="94"/>
      <c r="E542" s="142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</row>
    <row r="543" spans="1:26" ht="14.25" customHeight="1" x14ac:dyDescent="0.35">
      <c r="A543" s="94"/>
      <c r="B543" s="127"/>
      <c r="C543" s="94"/>
      <c r="D543" s="94"/>
      <c r="E543" s="142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</row>
    <row r="544" spans="1:26" ht="14.25" customHeight="1" x14ac:dyDescent="0.35">
      <c r="A544" s="94"/>
      <c r="B544" s="127"/>
      <c r="C544" s="94"/>
      <c r="D544" s="94"/>
      <c r="E544" s="142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</row>
    <row r="545" spans="1:26" ht="14.25" customHeight="1" x14ac:dyDescent="0.35">
      <c r="A545" s="94"/>
      <c r="B545" s="127"/>
      <c r="C545" s="94"/>
      <c r="D545" s="94"/>
      <c r="E545" s="142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</row>
    <row r="546" spans="1:26" ht="14.25" customHeight="1" x14ac:dyDescent="0.35">
      <c r="A546" s="94"/>
      <c r="B546" s="127"/>
      <c r="C546" s="94"/>
      <c r="D546" s="94"/>
      <c r="E546" s="142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</row>
    <row r="547" spans="1:26" ht="14.25" customHeight="1" x14ac:dyDescent="0.35">
      <c r="A547" s="94"/>
      <c r="B547" s="127"/>
      <c r="C547" s="94"/>
      <c r="D547" s="94"/>
      <c r="E547" s="142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</row>
    <row r="548" spans="1:26" ht="14.25" customHeight="1" x14ac:dyDescent="0.35">
      <c r="A548" s="94"/>
      <c r="B548" s="127"/>
      <c r="C548" s="94"/>
      <c r="D548" s="94"/>
      <c r="E548" s="142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</row>
    <row r="549" spans="1:26" ht="14.25" customHeight="1" x14ac:dyDescent="0.35">
      <c r="A549" s="94"/>
      <c r="B549" s="127"/>
      <c r="C549" s="94"/>
      <c r="D549" s="94"/>
      <c r="E549" s="142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</row>
    <row r="550" spans="1:26" ht="14.25" customHeight="1" x14ac:dyDescent="0.35">
      <c r="A550" s="94"/>
      <c r="B550" s="127"/>
      <c r="C550" s="94"/>
      <c r="D550" s="94"/>
      <c r="E550" s="142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</row>
    <row r="551" spans="1:26" ht="14.25" customHeight="1" x14ac:dyDescent="0.35">
      <c r="A551" s="94"/>
      <c r="B551" s="127"/>
      <c r="C551" s="94"/>
      <c r="D551" s="94"/>
      <c r="E551" s="142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</row>
    <row r="552" spans="1:26" ht="14.25" customHeight="1" x14ac:dyDescent="0.35">
      <c r="A552" s="94"/>
      <c r="B552" s="127"/>
      <c r="C552" s="94"/>
      <c r="D552" s="94"/>
      <c r="E552" s="142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</row>
    <row r="553" spans="1:26" ht="14.25" customHeight="1" x14ac:dyDescent="0.35">
      <c r="A553" s="94"/>
      <c r="B553" s="127"/>
      <c r="C553" s="94"/>
      <c r="D553" s="94"/>
      <c r="E553" s="142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</row>
    <row r="554" spans="1:26" ht="14.25" customHeight="1" x14ac:dyDescent="0.35">
      <c r="A554" s="94"/>
      <c r="B554" s="127"/>
      <c r="C554" s="94"/>
      <c r="D554" s="94"/>
      <c r="E554" s="142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</row>
    <row r="555" spans="1:26" ht="14.25" customHeight="1" x14ac:dyDescent="0.35">
      <c r="A555" s="94"/>
      <c r="B555" s="127"/>
      <c r="C555" s="94"/>
      <c r="D555" s="94"/>
      <c r="E555" s="142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</row>
    <row r="556" spans="1:26" ht="14.25" customHeight="1" x14ac:dyDescent="0.35">
      <c r="A556" s="94"/>
      <c r="B556" s="127"/>
      <c r="C556" s="94"/>
      <c r="D556" s="94"/>
      <c r="E556" s="142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</row>
    <row r="557" spans="1:26" ht="14.25" customHeight="1" x14ac:dyDescent="0.35">
      <c r="A557" s="94"/>
      <c r="B557" s="127"/>
      <c r="C557" s="94"/>
      <c r="D557" s="94"/>
      <c r="E557" s="142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</row>
    <row r="558" spans="1:26" ht="14.25" customHeight="1" x14ac:dyDescent="0.35">
      <c r="A558" s="94"/>
      <c r="B558" s="127"/>
      <c r="C558" s="94"/>
      <c r="D558" s="94"/>
      <c r="E558" s="142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</row>
    <row r="559" spans="1:26" ht="14.25" customHeight="1" x14ac:dyDescent="0.35">
      <c r="A559" s="94"/>
      <c r="B559" s="127"/>
      <c r="C559" s="94"/>
      <c r="D559" s="94"/>
      <c r="E559" s="142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</row>
    <row r="560" spans="1:26" ht="14.25" customHeight="1" x14ac:dyDescent="0.35">
      <c r="A560" s="94"/>
      <c r="B560" s="127"/>
      <c r="C560" s="94"/>
      <c r="D560" s="94"/>
      <c r="E560" s="142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</row>
    <row r="561" spans="1:26" ht="14.25" customHeight="1" x14ac:dyDescent="0.35">
      <c r="A561" s="94"/>
      <c r="B561" s="127"/>
      <c r="C561" s="94"/>
      <c r="D561" s="94"/>
      <c r="E561" s="142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</row>
    <row r="562" spans="1:26" ht="14.25" customHeight="1" x14ac:dyDescent="0.35">
      <c r="A562" s="94"/>
      <c r="B562" s="127"/>
      <c r="C562" s="94"/>
      <c r="D562" s="94"/>
      <c r="E562" s="142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</row>
    <row r="563" spans="1:26" ht="14.25" customHeight="1" x14ac:dyDescent="0.35">
      <c r="A563" s="94"/>
      <c r="B563" s="127"/>
      <c r="C563" s="94"/>
      <c r="D563" s="94"/>
      <c r="E563" s="142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</row>
    <row r="564" spans="1:26" ht="14.25" customHeight="1" x14ac:dyDescent="0.35">
      <c r="A564" s="94"/>
      <c r="B564" s="127"/>
      <c r="C564" s="94"/>
      <c r="D564" s="94"/>
      <c r="E564" s="142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</row>
    <row r="565" spans="1:26" ht="14.25" customHeight="1" x14ac:dyDescent="0.35">
      <c r="A565" s="94"/>
      <c r="B565" s="127"/>
      <c r="C565" s="94"/>
      <c r="D565" s="94"/>
      <c r="E565" s="142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</row>
    <row r="566" spans="1:26" ht="14.25" customHeight="1" x14ac:dyDescent="0.35">
      <c r="A566" s="94"/>
      <c r="B566" s="127"/>
      <c r="C566" s="94"/>
      <c r="D566" s="94"/>
      <c r="E566" s="142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</row>
    <row r="567" spans="1:26" ht="14.25" customHeight="1" x14ac:dyDescent="0.35">
      <c r="A567" s="94"/>
      <c r="B567" s="127"/>
      <c r="C567" s="94"/>
      <c r="D567" s="94"/>
      <c r="E567" s="142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</row>
    <row r="568" spans="1:26" ht="14.25" customHeight="1" x14ac:dyDescent="0.35">
      <c r="A568" s="94"/>
      <c r="B568" s="127"/>
      <c r="C568" s="94"/>
      <c r="D568" s="94"/>
      <c r="E568" s="142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</row>
    <row r="569" spans="1:26" ht="14.25" customHeight="1" x14ac:dyDescent="0.35">
      <c r="A569" s="94"/>
      <c r="B569" s="127"/>
      <c r="C569" s="94"/>
      <c r="D569" s="94"/>
      <c r="E569" s="142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</row>
    <row r="570" spans="1:26" ht="14.25" customHeight="1" x14ac:dyDescent="0.35">
      <c r="A570" s="94"/>
      <c r="B570" s="127"/>
      <c r="C570" s="94"/>
      <c r="D570" s="94"/>
      <c r="E570" s="142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</row>
    <row r="571" spans="1:26" ht="14.25" customHeight="1" x14ac:dyDescent="0.35">
      <c r="A571" s="94"/>
      <c r="B571" s="127"/>
      <c r="C571" s="94"/>
      <c r="D571" s="94"/>
      <c r="E571" s="142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</row>
    <row r="572" spans="1:26" ht="14.25" customHeight="1" x14ac:dyDescent="0.35">
      <c r="A572" s="94"/>
      <c r="B572" s="127"/>
      <c r="C572" s="94"/>
      <c r="D572" s="94"/>
      <c r="E572" s="142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</row>
    <row r="573" spans="1:26" ht="14.25" customHeight="1" x14ac:dyDescent="0.35">
      <c r="A573" s="94"/>
      <c r="B573" s="127"/>
      <c r="C573" s="94"/>
      <c r="D573" s="94"/>
      <c r="E573" s="142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</row>
    <row r="574" spans="1:26" ht="14.25" customHeight="1" x14ac:dyDescent="0.35">
      <c r="A574" s="94"/>
      <c r="B574" s="127"/>
      <c r="C574" s="94"/>
      <c r="D574" s="94"/>
      <c r="E574" s="142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</row>
    <row r="575" spans="1:26" ht="14.25" customHeight="1" x14ac:dyDescent="0.35">
      <c r="A575" s="94"/>
      <c r="B575" s="127"/>
      <c r="C575" s="94"/>
      <c r="D575" s="94"/>
      <c r="E575" s="142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</row>
    <row r="576" spans="1:26" ht="14.25" customHeight="1" x14ac:dyDescent="0.35">
      <c r="A576" s="94"/>
      <c r="B576" s="127"/>
      <c r="C576" s="94"/>
      <c r="D576" s="94"/>
      <c r="E576" s="142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</row>
    <row r="577" spans="1:26" ht="14.25" customHeight="1" x14ac:dyDescent="0.35">
      <c r="A577" s="94"/>
      <c r="B577" s="127"/>
      <c r="C577" s="94"/>
      <c r="D577" s="94"/>
      <c r="E577" s="142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</row>
    <row r="578" spans="1:26" ht="14.25" customHeight="1" x14ac:dyDescent="0.35">
      <c r="A578" s="94"/>
      <c r="B578" s="127"/>
      <c r="C578" s="94"/>
      <c r="D578" s="94"/>
      <c r="E578" s="142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</row>
    <row r="579" spans="1:26" ht="14.25" customHeight="1" x14ac:dyDescent="0.35">
      <c r="A579" s="94"/>
      <c r="B579" s="127"/>
      <c r="C579" s="94"/>
      <c r="D579" s="94"/>
      <c r="E579" s="142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</row>
    <row r="580" spans="1:26" ht="14.25" customHeight="1" x14ac:dyDescent="0.35">
      <c r="A580" s="94"/>
      <c r="B580" s="127"/>
      <c r="C580" s="94"/>
      <c r="D580" s="94"/>
      <c r="E580" s="142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</row>
    <row r="581" spans="1:26" ht="14.25" customHeight="1" x14ac:dyDescent="0.35">
      <c r="A581" s="94"/>
      <c r="B581" s="127"/>
      <c r="C581" s="94"/>
      <c r="D581" s="94"/>
      <c r="E581" s="142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</row>
    <row r="582" spans="1:26" ht="14.25" customHeight="1" x14ac:dyDescent="0.35">
      <c r="A582" s="94"/>
      <c r="B582" s="127"/>
      <c r="C582" s="94"/>
      <c r="D582" s="94"/>
      <c r="E582" s="142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</row>
    <row r="583" spans="1:26" ht="14.25" customHeight="1" x14ac:dyDescent="0.35">
      <c r="A583" s="94"/>
      <c r="B583" s="127"/>
      <c r="C583" s="94"/>
      <c r="D583" s="94"/>
      <c r="E583" s="142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</row>
    <row r="584" spans="1:26" ht="14.25" customHeight="1" x14ac:dyDescent="0.35">
      <c r="A584" s="94"/>
      <c r="B584" s="127"/>
      <c r="C584" s="94"/>
      <c r="D584" s="94"/>
      <c r="E584" s="142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</row>
    <row r="585" spans="1:26" ht="14.25" customHeight="1" x14ac:dyDescent="0.35">
      <c r="A585" s="94"/>
      <c r="B585" s="127"/>
      <c r="C585" s="94"/>
      <c r="D585" s="94"/>
      <c r="E585" s="142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</row>
    <row r="586" spans="1:26" ht="14.25" customHeight="1" x14ac:dyDescent="0.35">
      <c r="A586" s="94"/>
      <c r="B586" s="127"/>
      <c r="C586" s="94"/>
      <c r="D586" s="94"/>
      <c r="E586" s="142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</row>
    <row r="587" spans="1:26" ht="14.25" customHeight="1" x14ac:dyDescent="0.35">
      <c r="A587" s="94"/>
      <c r="B587" s="127"/>
      <c r="C587" s="94"/>
      <c r="D587" s="94"/>
      <c r="E587" s="142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</row>
    <row r="588" spans="1:26" ht="14.25" customHeight="1" x14ac:dyDescent="0.35">
      <c r="A588" s="94"/>
      <c r="B588" s="127"/>
      <c r="C588" s="94"/>
      <c r="D588" s="94"/>
      <c r="E588" s="142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</row>
    <row r="589" spans="1:26" ht="14.25" customHeight="1" x14ac:dyDescent="0.35">
      <c r="A589" s="94"/>
      <c r="B589" s="127"/>
      <c r="C589" s="94"/>
      <c r="D589" s="94"/>
      <c r="E589" s="142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</row>
    <row r="590" spans="1:26" ht="14.25" customHeight="1" x14ac:dyDescent="0.35">
      <c r="A590" s="94"/>
      <c r="B590" s="127"/>
      <c r="C590" s="94"/>
      <c r="D590" s="94"/>
      <c r="E590" s="142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</row>
    <row r="591" spans="1:26" ht="14.25" customHeight="1" x14ac:dyDescent="0.35">
      <c r="A591" s="94"/>
      <c r="B591" s="127"/>
      <c r="C591" s="94"/>
      <c r="D591" s="94"/>
      <c r="E591" s="142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</row>
    <row r="592" spans="1:26" ht="14.25" customHeight="1" x14ac:dyDescent="0.35">
      <c r="A592" s="94"/>
      <c r="B592" s="127"/>
      <c r="C592" s="94"/>
      <c r="D592" s="94"/>
      <c r="E592" s="142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</row>
    <row r="593" spans="1:26" ht="14.25" customHeight="1" x14ac:dyDescent="0.35">
      <c r="A593" s="94"/>
      <c r="B593" s="127"/>
      <c r="C593" s="94"/>
      <c r="D593" s="94"/>
      <c r="E593" s="142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</row>
    <row r="594" spans="1:26" ht="14.25" customHeight="1" x14ac:dyDescent="0.35">
      <c r="A594" s="94"/>
      <c r="B594" s="127"/>
      <c r="C594" s="94"/>
      <c r="D594" s="94"/>
      <c r="E594" s="142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</row>
    <row r="595" spans="1:26" ht="14.25" customHeight="1" x14ac:dyDescent="0.35">
      <c r="A595" s="94"/>
      <c r="B595" s="127"/>
      <c r="C595" s="94"/>
      <c r="D595" s="94"/>
      <c r="E595" s="142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</row>
    <row r="596" spans="1:26" ht="14.25" customHeight="1" x14ac:dyDescent="0.35">
      <c r="A596" s="94"/>
      <c r="B596" s="127"/>
      <c r="C596" s="94"/>
      <c r="D596" s="94"/>
      <c r="E596" s="142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</row>
    <row r="597" spans="1:26" ht="14.25" customHeight="1" x14ac:dyDescent="0.35">
      <c r="A597" s="94"/>
      <c r="B597" s="127"/>
      <c r="C597" s="94"/>
      <c r="D597" s="94"/>
      <c r="E597" s="142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</row>
    <row r="598" spans="1:26" ht="14.25" customHeight="1" x14ac:dyDescent="0.35">
      <c r="A598" s="94"/>
      <c r="B598" s="127"/>
      <c r="C598" s="94"/>
      <c r="D598" s="94"/>
      <c r="E598" s="142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</row>
    <row r="599" spans="1:26" ht="14.25" customHeight="1" x14ac:dyDescent="0.35">
      <c r="A599" s="94"/>
      <c r="B599" s="127"/>
      <c r="C599" s="94"/>
      <c r="D599" s="94"/>
      <c r="E599" s="142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</row>
    <row r="600" spans="1:26" ht="14.25" customHeight="1" x14ac:dyDescent="0.35">
      <c r="A600" s="94"/>
      <c r="B600" s="127"/>
      <c r="C600" s="94"/>
      <c r="D600" s="94"/>
      <c r="E600" s="142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</row>
    <row r="601" spans="1:26" ht="14.25" customHeight="1" x14ac:dyDescent="0.35">
      <c r="A601" s="94"/>
      <c r="B601" s="127"/>
      <c r="C601" s="94"/>
      <c r="D601" s="94"/>
      <c r="E601" s="142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</row>
    <row r="602" spans="1:26" ht="14.25" customHeight="1" x14ac:dyDescent="0.35">
      <c r="A602" s="94"/>
      <c r="B602" s="127"/>
      <c r="C602" s="94"/>
      <c r="D602" s="94"/>
      <c r="E602" s="142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</row>
    <row r="603" spans="1:26" ht="14.25" customHeight="1" x14ac:dyDescent="0.35">
      <c r="A603" s="94"/>
      <c r="B603" s="127"/>
      <c r="C603" s="94"/>
      <c r="D603" s="94"/>
      <c r="E603" s="142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</row>
    <row r="604" spans="1:26" ht="14.25" customHeight="1" x14ac:dyDescent="0.35">
      <c r="A604" s="94"/>
      <c r="B604" s="127"/>
      <c r="C604" s="94"/>
      <c r="D604" s="94"/>
      <c r="E604" s="142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</row>
    <row r="605" spans="1:26" ht="14.25" customHeight="1" x14ac:dyDescent="0.35">
      <c r="A605" s="94"/>
      <c r="B605" s="127"/>
      <c r="C605" s="94"/>
      <c r="D605" s="94"/>
      <c r="E605" s="142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</row>
    <row r="606" spans="1:26" ht="14.25" customHeight="1" x14ac:dyDescent="0.35">
      <c r="A606" s="94"/>
      <c r="B606" s="127"/>
      <c r="C606" s="94"/>
      <c r="D606" s="94"/>
      <c r="E606" s="142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</row>
    <row r="607" spans="1:26" ht="14.25" customHeight="1" x14ac:dyDescent="0.35">
      <c r="A607" s="94"/>
      <c r="B607" s="127"/>
      <c r="C607" s="94"/>
      <c r="D607" s="94"/>
      <c r="E607" s="142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</row>
    <row r="608" spans="1:26" ht="14.25" customHeight="1" x14ac:dyDescent="0.35">
      <c r="A608" s="94"/>
      <c r="B608" s="127"/>
      <c r="C608" s="94"/>
      <c r="D608" s="94"/>
      <c r="E608" s="142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</row>
    <row r="609" spans="1:26" ht="14.25" customHeight="1" x14ac:dyDescent="0.35">
      <c r="A609" s="94"/>
      <c r="B609" s="127"/>
      <c r="C609" s="94"/>
      <c r="D609" s="94"/>
      <c r="E609" s="142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</row>
    <row r="610" spans="1:26" ht="14.25" customHeight="1" x14ac:dyDescent="0.35">
      <c r="A610" s="94"/>
      <c r="B610" s="127"/>
      <c r="C610" s="94"/>
      <c r="D610" s="94"/>
      <c r="E610" s="142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</row>
    <row r="611" spans="1:26" ht="14.25" customHeight="1" x14ac:dyDescent="0.35">
      <c r="A611" s="94"/>
      <c r="B611" s="127"/>
      <c r="C611" s="94"/>
      <c r="D611" s="94"/>
      <c r="E611" s="142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</row>
    <row r="612" spans="1:26" ht="14.25" customHeight="1" x14ac:dyDescent="0.35">
      <c r="A612" s="94"/>
      <c r="B612" s="127"/>
      <c r="C612" s="94"/>
      <c r="D612" s="94"/>
      <c r="E612" s="142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</row>
    <row r="613" spans="1:26" ht="14.25" customHeight="1" x14ac:dyDescent="0.35">
      <c r="A613" s="94"/>
      <c r="B613" s="127"/>
      <c r="C613" s="94"/>
      <c r="D613" s="94"/>
      <c r="E613" s="142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</row>
    <row r="614" spans="1:26" ht="14.25" customHeight="1" x14ac:dyDescent="0.35">
      <c r="A614" s="94"/>
      <c r="B614" s="127"/>
      <c r="C614" s="94"/>
      <c r="D614" s="94"/>
      <c r="E614" s="142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</row>
    <row r="615" spans="1:26" ht="14.25" customHeight="1" x14ac:dyDescent="0.35">
      <c r="A615" s="94"/>
      <c r="B615" s="127"/>
      <c r="C615" s="94"/>
      <c r="D615" s="94"/>
      <c r="E615" s="142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</row>
    <row r="616" spans="1:26" ht="14.25" customHeight="1" x14ac:dyDescent="0.35">
      <c r="A616" s="94"/>
      <c r="B616" s="127"/>
      <c r="C616" s="94"/>
      <c r="D616" s="94"/>
      <c r="E616" s="142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</row>
    <row r="617" spans="1:26" ht="14.25" customHeight="1" x14ac:dyDescent="0.35">
      <c r="A617" s="94"/>
      <c r="B617" s="127"/>
      <c r="C617" s="94"/>
      <c r="D617" s="94"/>
      <c r="E617" s="142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</row>
    <row r="618" spans="1:26" ht="14.25" customHeight="1" x14ac:dyDescent="0.35">
      <c r="A618" s="94"/>
      <c r="B618" s="127"/>
      <c r="C618" s="94"/>
      <c r="D618" s="94"/>
      <c r="E618" s="142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</row>
    <row r="619" spans="1:26" ht="14.25" customHeight="1" x14ac:dyDescent="0.35">
      <c r="A619" s="94"/>
      <c r="B619" s="127"/>
      <c r="C619" s="94"/>
      <c r="D619" s="94"/>
      <c r="E619" s="142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</row>
    <row r="620" spans="1:26" ht="14.25" customHeight="1" x14ac:dyDescent="0.35">
      <c r="A620" s="94"/>
      <c r="B620" s="127"/>
      <c r="C620" s="94"/>
      <c r="D620" s="94"/>
      <c r="E620" s="142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</row>
    <row r="621" spans="1:26" ht="14.25" customHeight="1" x14ac:dyDescent="0.35">
      <c r="A621" s="94"/>
      <c r="B621" s="127"/>
      <c r="C621" s="94"/>
      <c r="D621" s="94"/>
      <c r="E621" s="142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</row>
    <row r="622" spans="1:26" ht="14.25" customHeight="1" x14ac:dyDescent="0.35">
      <c r="A622" s="94"/>
      <c r="B622" s="127"/>
      <c r="C622" s="94"/>
      <c r="D622" s="94"/>
      <c r="E622" s="142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</row>
    <row r="623" spans="1:26" ht="14.25" customHeight="1" x14ac:dyDescent="0.35">
      <c r="A623" s="94"/>
      <c r="B623" s="127"/>
      <c r="C623" s="94"/>
      <c r="D623" s="94"/>
      <c r="E623" s="142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</row>
    <row r="624" spans="1:26" ht="14.25" customHeight="1" x14ac:dyDescent="0.35">
      <c r="A624" s="94"/>
      <c r="B624" s="127"/>
      <c r="C624" s="94"/>
      <c r="D624" s="94"/>
      <c r="E624" s="142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</row>
    <row r="625" spans="1:26" ht="14.25" customHeight="1" x14ac:dyDescent="0.35">
      <c r="A625" s="94"/>
      <c r="B625" s="127"/>
      <c r="C625" s="94"/>
      <c r="D625" s="94"/>
      <c r="E625" s="142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</row>
    <row r="626" spans="1:26" ht="14.25" customHeight="1" x14ac:dyDescent="0.35">
      <c r="A626" s="94"/>
      <c r="B626" s="127"/>
      <c r="C626" s="94"/>
      <c r="D626" s="94"/>
      <c r="E626" s="142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</row>
    <row r="627" spans="1:26" ht="14.25" customHeight="1" x14ac:dyDescent="0.35">
      <c r="A627" s="94"/>
      <c r="B627" s="127"/>
      <c r="C627" s="94"/>
      <c r="D627" s="94"/>
      <c r="E627" s="142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</row>
    <row r="628" spans="1:26" ht="14.25" customHeight="1" x14ac:dyDescent="0.35">
      <c r="A628" s="94"/>
      <c r="B628" s="127"/>
      <c r="C628" s="94"/>
      <c r="D628" s="94"/>
      <c r="E628" s="142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</row>
    <row r="629" spans="1:26" ht="14.25" customHeight="1" x14ac:dyDescent="0.35">
      <c r="A629" s="94"/>
      <c r="B629" s="127"/>
      <c r="C629" s="94"/>
      <c r="D629" s="94"/>
      <c r="E629" s="142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</row>
    <row r="630" spans="1:26" ht="14.25" customHeight="1" x14ac:dyDescent="0.35">
      <c r="A630" s="94"/>
      <c r="B630" s="127"/>
      <c r="C630" s="94"/>
      <c r="D630" s="94"/>
      <c r="E630" s="142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</row>
    <row r="631" spans="1:26" ht="14.25" customHeight="1" x14ac:dyDescent="0.35">
      <c r="A631" s="94"/>
      <c r="B631" s="127"/>
      <c r="C631" s="94"/>
      <c r="D631" s="94"/>
      <c r="E631" s="142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</row>
    <row r="632" spans="1:26" ht="14.25" customHeight="1" x14ac:dyDescent="0.35">
      <c r="A632" s="94"/>
      <c r="B632" s="127"/>
      <c r="C632" s="94"/>
      <c r="D632" s="94"/>
      <c r="E632" s="142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</row>
    <row r="633" spans="1:26" ht="14.25" customHeight="1" x14ac:dyDescent="0.35">
      <c r="A633" s="94"/>
      <c r="B633" s="127"/>
      <c r="C633" s="94"/>
      <c r="D633" s="94"/>
      <c r="E633" s="142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</row>
    <row r="634" spans="1:26" ht="14.25" customHeight="1" x14ac:dyDescent="0.35">
      <c r="A634" s="94"/>
      <c r="B634" s="127"/>
      <c r="C634" s="94"/>
      <c r="D634" s="94"/>
      <c r="E634" s="142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</row>
    <row r="635" spans="1:26" ht="14.25" customHeight="1" x14ac:dyDescent="0.35">
      <c r="A635" s="94"/>
      <c r="B635" s="127"/>
      <c r="C635" s="94"/>
      <c r="D635" s="94"/>
      <c r="E635" s="142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</row>
    <row r="636" spans="1:26" ht="14.25" customHeight="1" x14ac:dyDescent="0.35">
      <c r="A636" s="94"/>
      <c r="B636" s="127"/>
      <c r="C636" s="94"/>
      <c r="D636" s="94"/>
      <c r="E636" s="142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</row>
    <row r="637" spans="1:26" ht="14.25" customHeight="1" x14ac:dyDescent="0.35">
      <c r="A637" s="94"/>
      <c r="B637" s="127"/>
      <c r="C637" s="94"/>
      <c r="D637" s="94"/>
      <c r="E637" s="142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</row>
    <row r="638" spans="1:26" ht="14.25" customHeight="1" x14ac:dyDescent="0.35">
      <c r="A638" s="94"/>
      <c r="B638" s="127"/>
      <c r="C638" s="94"/>
      <c r="D638" s="94"/>
      <c r="E638" s="142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</row>
    <row r="639" spans="1:26" ht="14.25" customHeight="1" x14ac:dyDescent="0.35">
      <c r="A639" s="94"/>
      <c r="B639" s="127"/>
      <c r="C639" s="94"/>
      <c r="D639" s="94"/>
      <c r="E639" s="142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</row>
    <row r="640" spans="1:26" ht="14.25" customHeight="1" x14ac:dyDescent="0.35">
      <c r="A640" s="94"/>
      <c r="B640" s="127"/>
      <c r="C640" s="94"/>
      <c r="D640" s="94"/>
      <c r="E640" s="142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</row>
    <row r="641" spans="1:26" ht="14.25" customHeight="1" x14ac:dyDescent="0.35">
      <c r="A641" s="94"/>
      <c r="B641" s="127"/>
      <c r="C641" s="94"/>
      <c r="D641" s="94"/>
      <c r="E641" s="142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</row>
    <row r="642" spans="1:26" ht="14.25" customHeight="1" x14ac:dyDescent="0.35">
      <c r="A642" s="94"/>
      <c r="B642" s="127"/>
      <c r="C642" s="94"/>
      <c r="D642" s="94"/>
      <c r="E642" s="142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</row>
    <row r="643" spans="1:26" ht="14.25" customHeight="1" x14ac:dyDescent="0.35">
      <c r="A643" s="94"/>
      <c r="B643" s="127"/>
      <c r="C643" s="94"/>
      <c r="D643" s="94"/>
      <c r="E643" s="142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</row>
    <row r="644" spans="1:26" ht="14.25" customHeight="1" x14ac:dyDescent="0.35">
      <c r="A644" s="94"/>
      <c r="B644" s="127"/>
      <c r="C644" s="94"/>
      <c r="D644" s="94"/>
      <c r="E644" s="142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</row>
    <row r="645" spans="1:26" ht="14.25" customHeight="1" x14ac:dyDescent="0.35">
      <c r="A645" s="94"/>
      <c r="B645" s="127"/>
      <c r="C645" s="94"/>
      <c r="D645" s="94"/>
      <c r="E645" s="142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</row>
    <row r="646" spans="1:26" ht="14.25" customHeight="1" x14ac:dyDescent="0.35">
      <c r="A646" s="94"/>
      <c r="B646" s="127"/>
      <c r="C646" s="94"/>
      <c r="D646" s="94"/>
      <c r="E646" s="142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</row>
    <row r="647" spans="1:26" ht="14.25" customHeight="1" x14ac:dyDescent="0.35">
      <c r="A647" s="94"/>
      <c r="B647" s="127"/>
      <c r="C647" s="94"/>
      <c r="D647" s="94"/>
      <c r="E647" s="142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</row>
    <row r="648" spans="1:26" ht="14.25" customHeight="1" x14ac:dyDescent="0.35">
      <c r="A648" s="94"/>
      <c r="B648" s="127"/>
      <c r="C648" s="94"/>
      <c r="D648" s="94"/>
      <c r="E648" s="142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</row>
    <row r="649" spans="1:26" ht="14.25" customHeight="1" x14ac:dyDescent="0.35">
      <c r="A649" s="94"/>
      <c r="B649" s="127"/>
      <c r="C649" s="94"/>
      <c r="D649" s="94"/>
      <c r="E649" s="142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</row>
    <row r="650" spans="1:26" ht="14.25" customHeight="1" x14ac:dyDescent="0.35">
      <c r="A650" s="94"/>
      <c r="B650" s="127"/>
      <c r="C650" s="94"/>
      <c r="D650" s="94"/>
      <c r="E650" s="142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</row>
    <row r="651" spans="1:26" ht="14.25" customHeight="1" x14ac:dyDescent="0.35">
      <c r="A651" s="94"/>
      <c r="B651" s="127"/>
      <c r="C651" s="94"/>
      <c r="D651" s="94"/>
      <c r="E651" s="142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</row>
    <row r="652" spans="1:26" ht="14.25" customHeight="1" x14ac:dyDescent="0.35">
      <c r="A652" s="94"/>
      <c r="B652" s="127"/>
      <c r="C652" s="94"/>
      <c r="D652" s="94"/>
      <c r="E652" s="142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</row>
    <row r="653" spans="1:26" ht="14.25" customHeight="1" x14ac:dyDescent="0.35">
      <c r="A653" s="94"/>
      <c r="B653" s="127"/>
      <c r="C653" s="94"/>
      <c r="D653" s="94"/>
      <c r="E653" s="142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</row>
    <row r="654" spans="1:26" ht="14.25" customHeight="1" x14ac:dyDescent="0.35">
      <c r="A654" s="94"/>
      <c r="B654" s="127"/>
      <c r="C654" s="94"/>
      <c r="D654" s="94"/>
      <c r="E654" s="142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</row>
    <row r="655" spans="1:26" ht="14.25" customHeight="1" x14ac:dyDescent="0.35">
      <c r="A655" s="94"/>
      <c r="B655" s="127"/>
      <c r="C655" s="94"/>
      <c r="D655" s="94"/>
      <c r="E655" s="142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</row>
    <row r="656" spans="1:26" ht="14.25" customHeight="1" x14ac:dyDescent="0.35">
      <c r="A656" s="94"/>
      <c r="B656" s="127"/>
      <c r="C656" s="94"/>
      <c r="D656" s="94"/>
      <c r="E656" s="142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</row>
    <row r="657" spans="1:26" ht="14.25" customHeight="1" x14ac:dyDescent="0.35">
      <c r="A657" s="94"/>
      <c r="B657" s="127"/>
      <c r="C657" s="94"/>
      <c r="D657" s="94"/>
      <c r="E657" s="142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</row>
    <row r="658" spans="1:26" ht="14.25" customHeight="1" x14ac:dyDescent="0.35">
      <c r="A658" s="94"/>
      <c r="B658" s="127"/>
      <c r="C658" s="94"/>
      <c r="D658" s="94"/>
      <c r="E658" s="142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</row>
    <row r="659" spans="1:26" ht="14.25" customHeight="1" x14ac:dyDescent="0.35">
      <c r="A659" s="94"/>
      <c r="B659" s="127"/>
      <c r="C659" s="94"/>
      <c r="D659" s="94"/>
      <c r="E659" s="142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</row>
    <row r="660" spans="1:26" ht="14.25" customHeight="1" x14ac:dyDescent="0.35">
      <c r="A660" s="94"/>
      <c r="B660" s="127"/>
      <c r="C660" s="94"/>
      <c r="D660" s="94"/>
      <c r="E660" s="142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</row>
    <row r="661" spans="1:26" ht="14.25" customHeight="1" x14ac:dyDescent="0.35">
      <c r="A661" s="94"/>
      <c r="B661" s="127"/>
      <c r="C661" s="94"/>
      <c r="D661" s="94"/>
      <c r="E661" s="142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</row>
    <row r="662" spans="1:26" ht="14.25" customHeight="1" x14ac:dyDescent="0.35">
      <c r="A662" s="94"/>
      <c r="B662" s="127"/>
      <c r="C662" s="94"/>
      <c r="D662" s="94"/>
      <c r="E662" s="142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</row>
    <row r="663" spans="1:26" ht="14.25" customHeight="1" x14ac:dyDescent="0.35">
      <c r="A663" s="94"/>
      <c r="B663" s="127"/>
      <c r="C663" s="94"/>
      <c r="D663" s="94"/>
      <c r="E663" s="142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</row>
    <row r="664" spans="1:26" ht="14.25" customHeight="1" x14ac:dyDescent="0.35">
      <c r="A664" s="94"/>
      <c r="B664" s="127"/>
      <c r="C664" s="94"/>
      <c r="D664" s="94"/>
      <c r="E664" s="142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</row>
    <row r="665" spans="1:26" ht="14.25" customHeight="1" x14ac:dyDescent="0.35">
      <c r="A665" s="94"/>
      <c r="B665" s="127"/>
      <c r="C665" s="94"/>
      <c r="D665" s="94"/>
      <c r="E665" s="142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</row>
    <row r="666" spans="1:26" ht="14.25" customHeight="1" x14ac:dyDescent="0.35">
      <c r="A666" s="94"/>
      <c r="B666" s="127"/>
      <c r="C666" s="94"/>
      <c r="D666" s="94"/>
      <c r="E666" s="142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</row>
    <row r="667" spans="1:26" ht="14.25" customHeight="1" x14ac:dyDescent="0.35">
      <c r="A667" s="94"/>
      <c r="B667" s="127"/>
      <c r="C667" s="94"/>
      <c r="D667" s="94"/>
      <c r="E667" s="142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</row>
    <row r="668" spans="1:26" ht="14.25" customHeight="1" x14ac:dyDescent="0.35">
      <c r="A668" s="94"/>
      <c r="B668" s="127"/>
      <c r="C668" s="94"/>
      <c r="D668" s="94"/>
      <c r="E668" s="142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</row>
    <row r="669" spans="1:26" ht="14.25" customHeight="1" x14ac:dyDescent="0.35">
      <c r="A669" s="94"/>
      <c r="B669" s="127"/>
      <c r="C669" s="94"/>
      <c r="D669" s="94"/>
      <c r="E669" s="142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</row>
    <row r="670" spans="1:26" ht="14.25" customHeight="1" x14ac:dyDescent="0.35">
      <c r="A670" s="94"/>
      <c r="B670" s="127"/>
      <c r="C670" s="94"/>
      <c r="D670" s="94"/>
      <c r="E670" s="142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</row>
    <row r="671" spans="1:26" ht="14.25" customHeight="1" x14ac:dyDescent="0.35">
      <c r="A671" s="94"/>
      <c r="B671" s="127"/>
      <c r="C671" s="94"/>
      <c r="D671" s="94"/>
      <c r="E671" s="142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</row>
    <row r="672" spans="1:26" ht="14.25" customHeight="1" x14ac:dyDescent="0.35">
      <c r="A672" s="94"/>
      <c r="B672" s="127"/>
      <c r="C672" s="94"/>
      <c r="D672" s="94"/>
      <c r="E672" s="142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</row>
    <row r="673" spans="1:26" ht="14.25" customHeight="1" x14ac:dyDescent="0.35">
      <c r="A673" s="94"/>
      <c r="B673" s="127"/>
      <c r="C673" s="94"/>
      <c r="D673" s="94"/>
      <c r="E673" s="142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</row>
    <row r="674" spans="1:26" ht="14.25" customHeight="1" x14ac:dyDescent="0.35">
      <c r="A674" s="94"/>
      <c r="B674" s="127"/>
      <c r="C674" s="94"/>
      <c r="D674" s="94"/>
      <c r="E674" s="142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</row>
    <row r="675" spans="1:26" ht="14.25" customHeight="1" x14ac:dyDescent="0.35">
      <c r="A675" s="94"/>
      <c r="B675" s="127"/>
      <c r="C675" s="94"/>
      <c r="D675" s="94"/>
      <c r="E675" s="142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</row>
    <row r="676" spans="1:26" ht="14.25" customHeight="1" x14ac:dyDescent="0.35">
      <c r="A676" s="94"/>
      <c r="B676" s="127"/>
      <c r="C676" s="94"/>
      <c r="D676" s="94"/>
      <c r="E676" s="142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</row>
    <row r="677" spans="1:26" ht="14.25" customHeight="1" x14ac:dyDescent="0.35">
      <c r="A677" s="94"/>
      <c r="B677" s="127"/>
      <c r="C677" s="94"/>
      <c r="D677" s="94"/>
      <c r="E677" s="142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</row>
    <row r="678" spans="1:26" ht="14.25" customHeight="1" x14ac:dyDescent="0.35">
      <c r="A678" s="94"/>
      <c r="B678" s="127"/>
      <c r="C678" s="94"/>
      <c r="D678" s="94"/>
      <c r="E678" s="142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</row>
    <row r="679" spans="1:26" ht="14.25" customHeight="1" x14ac:dyDescent="0.35">
      <c r="A679" s="94"/>
      <c r="B679" s="127"/>
      <c r="C679" s="94"/>
      <c r="D679" s="94"/>
      <c r="E679" s="142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</row>
    <row r="680" spans="1:26" ht="14.25" customHeight="1" x14ac:dyDescent="0.35">
      <c r="A680" s="94"/>
      <c r="B680" s="127"/>
      <c r="C680" s="94"/>
      <c r="D680" s="94"/>
      <c r="E680" s="142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</row>
    <row r="681" spans="1:26" ht="14.25" customHeight="1" x14ac:dyDescent="0.35">
      <c r="A681" s="94"/>
      <c r="B681" s="127"/>
      <c r="C681" s="94"/>
      <c r="D681" s="94"/>
      <c r="E681" s="142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</row>
    <row r="682" spans="1:26" ht="14.25" customHeight="1" x14ac:dyDescent="0.35">
      <c r="A682" s="94"/>
      <c r="B682" s="127"/>
      <c r="C682" s="94"/>
      <c r="D682" s="94"/>
      <c r="E682" s="142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</row>
    <row r="683" spans="1:26" ht="14.25" customHeight="1" x14ac:dyDescent="0.35">
      <c r="A683" s="94"/>
      <c r="B683" s="127"/>
      <c r="C683" s="94"/>
      <c r="D683" s="94"/>
      <c r="E683" s="142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</row>
    <row r="684" spans="1:26" ht="14.25" customHeight="1" x14ac:dyDescent="0.35">
      <c r="A684" s="94"/>
      <c r="B684" s="127"/>
      <c r="C684" s="94"/>
      <c r="D684" s="94"/>
      <c r="E684" s="142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</row>
    <row r="685" spans="1:26" ht="14.25" customHeight="1" x14ac:dyDescent="0.35">
      <c r="A685" s="94"/>
      <c r="B685" s="127"/>
      <c r="C685" s="94"/>
      <c r="D685" s="94"/>
      <c r="E685" s="142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</row>
    <row r="686" spans="1:26" ht="14.25" customHeight="1" x14ac:dyDescent="0.35">
      <c r="A686" s="94"/>
      <c r="B686" s="127"/>
      <c r="C686" s="94"/>
      <c r="D686" s="94"/>
      <c r="E686" s="142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</row>
    <row r="687" spans="1:26" ht="14.25" customHeight="1" x14ac:dyDescent="0.35">
      <c r="A687" s="94"/>
      <c r="B687" s="127"/>
      <c r="C687" s="94"/>
      <c r="D687" s="94"/>
      <c r="E687" s="142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</row>
    <row r="688" spans="1:26" ht="14.25" customHeight="1" x14ac:dyDescent="0.35">
      <c r="A688" s="94"/>
      <c r="B688" s="127"/>
      <c r="C688" s="94"/>
      <c r="D688" s="94"/>
      <c r="E688" s="142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</row>
    <row r="689" spans="1:26" ht="14.25" customHeight="1" x14ac:dyDescent="0.35">
      <c r="A689" s="94"/>
      <c r="B689" s="127"/>
      <c r="C689" s="94"/>
      <c r="D689" s="94"/>
      <c r="E689" s="142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</row>
    <row r="690" spans="1:26" ht="14.25" customHeight="1" x14ac:dyDescent="0.35">
      <c r="A690" s="94"/>
      <c r="B690" s="127"/>
      <c r="C690" s="94"/>
      <c r="D690" s="94"/>
      <c r="E690" s="142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</row>
    <row r="691" spans="1:26" ht="14.25" customHeight="1" x14ac:dyDescent="0.35">
      <c r="A691" s="94"/>
      <c r="B691" s="127"/>
      <c r="C691" s="94"/>
      <c r="D691" s="94"/>
      <c r="E691" s="142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</row>
    <row r="692" spans="1:26" ht="14.25" customHeight="1" x14ac:dyDescent="0.35">
      <c r="A692" s="94"/>
      <c r="B692" s="127"/>
      <c r="C692" s="94"/>
      <c r="D692" s="94"/>
      <c r="E692" s="142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</row>
    <row r="693" spans="1:26" ht="14.25" customHeight="1" x14ac:dyDescent="0.35">
      <c r="A693" s="94"/>
      <c r="B693" s="127"/>
      <c r="C693" s="94"/>
      <c r="D693" s="94"/>
      <c r="E693" s="142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</row>
    <row r="694" spans="1:26" ht="14.25" customHeight="1" x14ac:dyDescent="0.35">
      <c r="A694" s="94"/>
      <c r="B694" s="127"/>
      <c r="C694" s="94"/>
      <c r="D694" s="94"/>
      <c r="E694" s="142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</row>
    <row r="695" spans="1:26" ht="14.25" customHeight="1" x14ac:dyDescent="0.35">
      <c r="A695" s="94"/>
      <c r="B695" s="127"/>
      <c r="C695" s="94"/>
      <c r="D695" s="94"/>
      <c r="E695" s="142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</row>
    <row r="696" spans="1:26" ht="14.25" customHeight="1" x14ac:dyDescent="0.35">
      <c r="A696" s="94"/>
      <c r="B696" s="127"/>
      <c r="C696" s="94"/>
      <c r="D696" s="94"/>
      <c r="E696" s="142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</row>
    <row r="697" spans="1:26" ht="14.25" customHeight="1" x14ac:dyDescent="0.35">
      <c r="A697" s="94"/>
      <c r="B697" s="127"/>
      <c r="C697" s="94"/>
      <c r="D697" s="94"/>
      <c r="E697" s="142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</row>
    <row r="698" spans="1:26" ht="14.25" customHeight="1" x14ac:dyDescent="0.35">
      <c r="A698" s="94"/>
      <c r="B698" s="127"/>
      <c r="C698" s="94"/>
      <c r="D698" s="94"/>
      <c r="E698" s="142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</row>
    <row r="699" spans="1:26" ht="14.25" customHeight="1" x14ac:dyDescent="0.35">
      <c r="A699" s="94"/>
      <c r="B699" s="127"/>
      <c r="C699" s="94"/>
      <c r="D699" s="94"/>
      <c r="E699" s="142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</row>
    <row r="700" spans="1:26" ht="14.25" customHeight="1" x14ac:dyDescent="0.35">
      <c r="A700" s="94"/>
      <c r="B700" s="127"/>
      <c r="C700" s="94"/>
      <c r="D700" s="94"/>
      <c r="E700" s="142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</row>
    <row r="701" spans="1:26" ht="14.25" customHeight="1" x14ac:dyDescent="0.35">
      <c r="A701" s="94"/>
      <c r="B701" s="127"/>
      <c r="C701" s="94"/>
      <c r="D701" s="94"/>
      <c r="E701" s="142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</row>
    <row r="702" spans="1:26" ht="14.25" customHeight="1" x14ac:dyDescent="0.35">
      <c r="A702" s="94"/>
      <c r="B702" s="127"/>
      <c r="C702" s="94"/>
      <c r="D702" s="94"/>
      <c r="E702" s="142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</row>
    <row r="703" spans="1:26" ht="14.25" customHeight="1" x14ac:dyDescent="0.35">
      <c r="A703" s="94"/>
      <c r="B703" s="127"/>
      <c r="C703" s="94"/>
      <c r="D703" s="94"/>
      <c r="E703" s="142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</row>
    <row r="704" spans="1:26" ht="14.25" customHeight="1" x14ac:dyDescent="0.35">
      <c r="A704" s="94"/>
      <c r="B704" s="127"/>
      <c r="C704" s="94"/>
      <c r="D704" s="94"/>
      <c r="E704" s="142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</row>
    <row r="705" spans="1:26" ht="14.25" customHeight="1" x14ac:dyDescent="0.35">
      <c r="A705" s="94"/>
      <c r="B705" s="127"/>
      <c r="C705" s="94"/>
      <c r="D705" s="94"/>
      <c r="E705" s="142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</row>
    <row r="706" spans="1:26" ht="14.25" customHeight="1" x14ac:dyDescent="0.35">
      <c r="A706" s="94"/>
      <c r="B706" s="127"/>
      <c r="C706" s="94"/>
      <c r="D706" s="94"/>
      <c r="E706" s="142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</row>
    <row r="707" spans="1:26" ht="14.25" customHeight="1" x14ac:dyDescent="0.35">
      <c r="A707" s="94"/>
      <c r="B707" s="127"/>
      <c r="C707" s="94"/>
      <c r="D707" s="94"/>
      <c r="E707" s="142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</row>
    <row r="708" spans="1:26" ht="14.25" customHeight="1" x14ac:dyDescent="0.35">
      <c r="A708" s="94"/>
      <c r="B708" s="127"/>
      <c r="C708" s="94"/>
      <c r="D708" s="94"/>
      <c r="E708" s="142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</row>
    <row r="709" spans="1:26" ht="14.25" customHeight="1" x14ac:dyDescent="0.35">
      <c r="A709" s="94"/>
      <c r="B709" s="127"/>
      <c r="C709" s="94"/>
      <c r="D709" s="94"/>
      <c r="E709" s="142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</row>
    <row r="710" spans="1:26" ht="14.25" customHeight="1" x14ac:dyDescent="0.35">
      <c r="A710" s="94"/>
      <c r="B710" s="127"/>
      <c r="C710" s="94"/>
      <c r="D710" s="94"/>
      <c r="E710" s="142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</row>
    <row r="711" spans="1:26" ht="14.25" customHeight="1" x14ac:dyDescent="0.35">
      <c r="A711" s="94"/>
      <c r="B711" s="127"/>
      <c r="C711" s="94"/>
      <c r="D711" s="94"/>
      <c r="E711" s="142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</row>
    <row r="712" spans="1:26" ht="14.25" customHeight="1" x14ac:dyDescent="0.35">
      <c r="A712" s="94"/>
      <c r="B712" s="127"/>
      <c r="C712" s="94"/>
      <c r="D712" s="94"/>
      <c r="E712" s="142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</row>
    <row r="713" spans="1:26" ht="14.25" customHeight="1" x14ac:dyDescent="0.35">
      <c r="A713" s="94"/>
      <c r="B713" s="127"/>
      <c r="C713" s="94"/>
      <c r="D713" s="94"/>
      <c r="E713" s="142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</row>
    <row r="714" spans="1:26" ht="14.25" customHeight="1" x14ac:dyDescent="0.35">
      <c r="A714" s="94"/>
      <c r="B714" s="127"/>
      <c r="C714" s="94"/>
      <c r="D714" s="94"/>
      <c r="E714" s="142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</row>
    <row r="715" spans="1:26" ht="14.25" customHeight="1" x14ac:dyDescent="0.35">
      <c r="A715" s="94"/>
      <c r="B715" s="127"/>
      <c r="C715" s="94"/>
      <c r="D715" s="94"/>
      <c r="E715" s="142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</row>
    <row r="716" spans="1:26" ht="14.25" customHeight="1" x14ac:dyDescent="0.35">
      <c r="A716" s="94"/>
      <c r="B716" s="127"/>
      <c r="C716" s="94"/>
      <c r="D716" s="94"/>
      <c r="E716" s="142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</row>
    <row r="717" spans="1:26" ht="14.25" customHeight="1" x14ac:dyDescent="0.35">
      <c r="A717" s="94"/>
      <c r="B717" s="127"/>
      <c r="C717" s="94"/>
      <c r="D717" s="94"/>
      <c r="E717" s="142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</row>
    <row r="718" spans="1:26" ht="14.25" customHeight="1" x14ac:dyDescent="0.35">
      <c r="A718" s="94"/>
      <c r="B718" s="127"/>
      <c r="C718" s="94"/>
      <c r="D718" s="94"/>
      <c r="E718" s="142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</row>
    <row r="719" spans="1:26" ht="14.25" customHeight="1" x14ac:dyDescent="0.35">
      <c r="A719" s="94"/>
      <c r="B719" s="127"/>
      <c r="C719" s="94"/>
      <c r="D719" s="94"/>
      <c r="E719" s="142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</row>
    <row r="720" spans="1:26" ht="14.25" customHeight="1" x14ac:dyDescent="0.35">
      <c r="A720" s="94"/>
      <c r="B720" s="127"/>
      <c r="C720" s="94"/>
      <c r="D720" s="94"/>
      <c r="E720" s="142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</row>
    <row r="721" spans="1:26" ht="14.25" customHeight="1" x14ac:dyDescent="0.35">
      <c r="A721" s="94"/>
      <c r="B721" s="127"/>
      <c r="C721" s="94"/>
      <c r="D721" s="94"/>
      <c r="E721" s="142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</row>
    <row r="722" spans="1:26" ht="14.25" customHeight="1" x14ac:dyDescent="0.35">
      <c r="A722" s="94"/>
      <c r="B722" s="127"/>
      <c r="C722" s="94"/>
      <c r="D722" s="94"/>
      <c r="E722" s="142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</row>
    <row r="723" spans="1:26" ht="14.25" customHeight="1" x14ac:dyDescent="0.35">
      <c r="A723" s="94"/>
      <c r="B723" s="127"/>
      <c r="C723" s="94"/>
      <c r="D723" s="94"/>
      <c r="E723" s="142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</row>
    <row r="724" spans="1:26" ht="14.25" customHeight="1" x14ac:dyDescent="0.35">
      <c r="A724" s="94"/>
      <c r="B724" s="127"/>
      <c r="C724" s="94"/>
      <c r="D724" s="94"/>
      <c r="E724" s="142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</row>
    <row r="725" spans="1:26" ht="14.25" customHeight="1" x14ac:dyDescent="0.35">
      <c r="A725" s="94"/>
      <c r="B725" s="127"/>
      <c r="C725" s="94"/>
      <c r="D725" s="94"/>
      <c r="E725" s="142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</row>
    <row r="726" spans="1:26" ht="14.25" customHeight="1" x14ac:dyDescent="0.35">
      <c r="A726" s="94"/>
      <c r="B726" s="127"/>
      <c r="C726" s="94"/>
      <c r="D726" s="94"/>
      <c r="E726" s="142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</row>
    <row r="727" spans="1:26" ht="14.25" customHeight="1" x14ac:dyDescent="0.35">
      <c r="A727" s="94"/>
      <c r="B727" s="127"/>
      <c r="C727" s="94"/>
      <c r="D727" s="94"/>
      <c r="E727" s="142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</row>
    <row r="728" spans="1:26" ht="14.25" customHeight="1" x14ac:dyDescent="0.35">
      <c r="A728" s="94"/>
      <c r="B728" s="127"/>
      <c r="C728" s="94"/>
      <c r="D728" s="94"/>
      <c r="E728" s="142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</row>
    <row r="729" spans="1:26" ht="14.25" customHeight="1" x14ac:dyDescent="0.35">
      <c r="A729" s="94"/>
      <c r="B729" s="127"/>
      <c r="C729" s="94"/>
      <c r="D729" s="94"/>
      <c r="E729" s="142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</row>
    <row r="730" spans="1:26" ht="14.25" customHeight="1" x14ac:dyDescent="0.35">
      <c r="A730" s="94"/>
      <c r="B730" s="127"/>
      <c r="C730" s="94"/>
      <c r="D730" s="94"/>
      <c r="E730" s="142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</row>
    <row r="731" spans="1:26" ht="14.25" customHeight="1" x14ac:dyDescent="0.35">
      <c r="A731" s="94"/>
      <c r="B731" s="127"/>
      <c r="C731" s="94"/>
      <c r="D731" s="94"/>
      <c r="E731" s="142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</row>
    <row r="732" spans="1:26" ht="14.25" customHeight="1" x14ac:dyDescent="0.35">
      <c r="A732" s="94"/>
      <c r="B732" s="127"/>
      <c r="C732" s="94"/>
      <c r="D732" s="94"/>
      <c r="E732" s="142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</row>
    <row r="733" spans="1:26" ht="14.25" customHeight="1" x14ac:dyDescent="0.35">
      <c r="A733" s="94"/>
      <c r="B733" s="127"/>
      <c r="C733" s="94"/>
      <c r="D733" s="94"/>
      <c r="E733" s="142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</row>
    <row r="734" spans="1:26" ht="14.25" customHeight="1" x14ac:dyDescent="0.35">
      <c r="A734" s="94"/>
      <c r="B734" s="127"/>
      <c r="C734" s="94"/>
      <c r="D734" s="94"/>
      <c r="E734" s="142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</row>
    <row r="735" spans="1:26" ht="14.25" customHeight="1" x14ac:dyDescent="0.35">
      <c r="A735" s="94"/>
      <c r="B735" s="127"/>
      <c r="C735" s="94"/>
      <c r="D735" s="94"/>
      <c r="E735" s="142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</row>
    <row r="736" spans="1:26" ht="14.25" customHeight="1" x14ac:dyDescent="0.35">
      <c r="A736" s="94"/>
      <c r="B736" s="127"/>
      <c r="C736" s="94"/>
      <c r="D736" s="94"/>
      <c r="E736" s="142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</row>
    <row r="737" spans="1:26" ht="14.25" customHeight="1" x14ac:dyDescent="0.35">
      <c r="A737" s="94"/>
      <c r="B737" s="127"/>
      <c r="C737" s="94"/>
      <c r="D737" s="94"/>
      <c r="E737" s="142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</row>
    <row r="738" spans="1:26" ht="14.25" customHeight="1" x14ac:dyDescent="0.35">
      <c r="A738" s="94"/>
      <c r="B738" s="127"/>
      <c r="C738" s="94"/>
      <c r="D738" s="94"/>
      <c r="E738" s="142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</row>
    <row r="739" spans="1:26" ht="14.25" customHeight="1" x14ac:dyDescent="0.35">
      <c r="A739" s="94"/>
      <c r="B739" s="127"/>
      <c r="C739" s="94"/>
      <c r="D739" s="94"/>
      <c r="E739" s="142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</row>
    <row r="740" spans="1:26" ht="14.25" customHeight="1" x14ac:dyDescent="0.35">
      <c r="A740" s="94"/>
      <c r="B740" s="127"/>
      <c r="C740" s="94"/>
      <c r="D740" s="94"/>
      <c r="E740" s="142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</row>
    <row r="741" spans="1:26" ht="14.25" customHeight="1" x14ac:dyDescent="0.35">
      <c r="A741" s="94"/>
      <c r="B741" s="127"/>
      <c r="C741" s="94"/>
      <c r="D741" s="94"/>
      <c r="E741" s="142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</row>
    <row r="742" spans="1:26" ht="14.25" customHeight="1" x14ac:dyDescent="0.35">
      <c r="A742" s="94"/>
      <c r="B742" s="127"/>
      <c r="C742" s="94"/>
      <c r="D742" s="94"/>
      <c r="E742" s="142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</row>
    <row r="743" spans="1:26" ht="14.25" customHeight="1" x14ac:dyDescent="0.35">
      <c r="A743" s="94"/>
      <c r="B743" s="127"/>
      <c r="C743" s="94"/>
      <c r="D743" s="94"/>
      <c r="E743" s="142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</row>
    <row r="744" spans="1:26" ht="14.25" customHeight="1" x14ac:dyDescent="0.35">
      <c r="A744" s="94"/>
      <c r="B744" s="127"/>
      <c r="C744" s="94"/>
      <c r="D744" s="94"/>
      <c r="E744" s="142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</row>
    <row r="745" spans="1:26" ht="14.25" customHeight="1" x14ac:dyDescent="0.35">
      <c r="A745" s="94"/>
      <c r="B745" s="127"/>
      <c r="C745" s="94"/>
      <c r="D745" s="94"/>
      <c r="E745" s="142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</row>
    <row r="746" spans="1:26" ht="14.25" customHeight="1" x14ac:dyDescent="0.35">
      <c r="A746" s="94"/>
      <c r="B746" s="127"/>
      <c r="C746" s="94"/>
      <c r="D746" s="94"/>
      <c r="E746" s="142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</row>
    <row r="747" spans="1:26" ht="14.25" customHeight="1" x14ac:dyDescent="0.35">
      <c r="A747" s="94"/>
      <c r="B747" s="127"/>
      <c r="C747" s="94"/>
      <c r="D747" s="94"/>
      <c r="E747" s="142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</row>
    <row r="748" spans="1:26" ht="14.25" customHeight="1" x14ac:dyDescent="0.35">
      <c r="A748" s="94"/>
      <c r="B748" s="127"/>
      <c r="C748" s="94"/>
      <c r="D748" s="94"/>
      <c r="E748" s="142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</row>
    <row r="749" spans="1:26" ht="14.25" customHeight="1" x14ac:dyDescent="0.35">
      <c r="A749" s="94"/>
      <c r="B749" s="127"/>
      <c r="C749" s="94"/>
      <c r="D749" s="94"/>
      <c r="E749" s="142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</row>
    <row r="750" spans="1:26" ht="14.25" customHeight="1" x14ac:dyDescent="0.35">
      <c r="A750" s="94"/>
      <c r="B750" s="127"/>
      <c r="C750" s="94"/>
      <c r="D750" s="94"/>
      <c r="E750" s="142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</row>
    <row r="751" spans="1:26" ht="14.25" customHeight="1" x14ac:dyDescent="0.35">
      <c r="A751" s="94"/>
      <c r="B751" s="127"/>
      <c r="C751" s="94"/>
      <c r="D751" s="94"/>
      <c r="E751" s="142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</row>
    <row r="752" spans="1:26" ht="14.25" customHeight="1" x14ac:dyDescent="0.35">
      <c r="A752" s="94"/>
      <c r="B752" s="127"/>
      <c r="C752" s="94"/>
      <c r="D752" s="94"/>
      <c r="E752" s="142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</row>
    <row r="753" spans="1:26" ht="14.25" customHeight="1" x14ac:dyDescent="0.35">
      <c r="A753" s="94"/>
      <c r="B753" s="127"/>
      <c r="C753" s="94"/>
      <c r="D753" s="94"/>
      <c r="E753" s="142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</row>
    <row r="754" spans="1:26" ht="14.25" customHeight="1" x14ac:dyDescent="0.35">
      <c r="A754" s="94"/>
      <c r="B754" s="127"/>
      <c r="C754" s="94"/>
      <c r="D754" s="94"/>
      <c r="E754" s="142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</row>
    <row r="755" spans="1:26" ht="14.25" customHeight="1" x14ac:dyDescent="0.35">
      <c r="A755" s="94"/>
      <c r="B755" s="127"/>
      <c r="C755" s="94"/>
      <c r="D755" s="94"/>
      <c r="E755" s="142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</row>
    <row r="756" spans="1:26" ht="14.25" customHeight="1" x14ac:dyDescent="0.35">
      <c r="A756" s="94"/>
      <c r="B756" s="127"/>
      <c r="C756" s="94"/>
      <c r="D756" s="94"/>
      <c r="E756" s="142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</row>
    <row r="757" spans="1:26" ht="14.25" customHeight="1" x14ac:dyDescent="0.35">
      <c r="A757" s="94"/>
      <c r="B757" s="127"/>
      <c r="C757" s="94"/>
      <c r="D757" s="94"/>
      <c r="E757" s="142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</row>
    <row r="758" spans="1:26" ht="14.25" customHeight="1" x14ac:dyDescent="0.35">
      <c r="A758" s="94"/>
      <c r="B758" s="127"/>
      <c r="C758" s="94"/>
      <c r="D758" s="94"/>
      <c r="E758" s="142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</row>
    <row r="759" spans="1:26" ht="14.25" customHeight="1" x14ac:dyDescent="0.35">
      <c r="A759" s="94"/>
      <c r="B759" s="127"/>
      <c r="C759" s="94"/>
      <c r="D759" s="94"/>
      <c r="E759" s="142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</row>
    <row r="760" spans="1:26" ht="14.25" customHeight="1" x14ac:dyDescent="0.35">
      <c r="A760" s="94"/>
      <c r="B760" s="127"/>
      <c r="C760" s="94"/>
      <c r="D760" s="94"/>
      <c r="E760" s="142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</row>
    <row r="761" spans="1:26" ht="14.25" customHeight="1" x14ac:dyDescent="0.35">
      <c r="A761" s="94"/>
      <c r="B761" s="127"/>
      <c r="C761" s="94"/>
      <c r="D761" s="94"/>
      <c r="E761" s="142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</row>
    <row r="762" spans="1:26" ht="14.25" customHeight="1" x14ac:dyDescent="0.35">
      <c r="A762" s="94"/>
      <c r="B762" s="127"/>
      <c r="C762" s="94"/>
      <c r="D762" s="94"/>
      <c r="E762" s="142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</row>
    <row r="763" spans="1:26" ht="14.25" customHeight="1" x14ac:dyDescent="0.35">
      <c r="A763" s="94"/>
      <c r="B763" s="127"/>
      <c r="C763" s="94"/>
      <c r="D763" s="94"/>
      <c r="E763" s="142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</row>
    <row r="764" spans="1:26" ht="14.25" customHeight="1" x14ac:dyDescent="0.35">
      <c r="A764" s="94"/>
      <c r="B764" s="127"/>
      <c r="C764" s="94"/>
      <c r="D764" s="94"/>
      <c r="E764" s="142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</row>
    <row r="765" spans="1:26" ht="14.25" customHeight="1" x14ac:dyDescent="0.35">
      <c r="A765" s="94"/>
      <c r="B765" s="127"/>
      <c r="C765" s="94"/>
      <c r="D765" s="94"/>
      <c r="E765" s="142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</row>
    <row r="766" spans="1:26" ht="14.25" customHeight="1" x14ac:dyDescent="0.35">
      <c r="A766" s="94"/>
      <c r="B766" s="127"/>
      <c r="C766" s="94"/>
      <c r="D766" s="94"/>
      <c r="E766" s="142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</row>
    <row r="767" spans="1:26" ht="14.25" customHeight="1" x14ac:dyDescent="0.35">
      <c r="A767" s="94"/>
      <c r="B767" s="127"/>
      <c r="C767" s="94"/>
      <c r="D767" s="94"/>
      <c r="E767" s="142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</row>
    <row r="768" spans="1:26" ht="14.25" customHeight="1" x14ac:dyDescent="0.35">
      <c r="A768" s="94"/>
      <c r="B768" s="127"/>
      <c r="C768" s="94"/>
      <c r="D768" s="94"/>
      <c r="E768" s="142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</row>
    <row r="769" spans="1:26" ht="14.25" customHeight="1" x14ac:dyDescent="0.35">
      <c r="A769" s="94"/>
      <c r="B769" s="127"/>
      <c r="C769" s="94"/>
      <c r="D769" s="94"/>
      <c r="E769" s="142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</row>
    <row r="770" spans="1:26" ht="14.25" customHeight="1" x14ac:dyDescent="0.35">
      <c r="A770" s="94"/>
      <c r="B770" s="127"/>
      <c r="C770" s="94"/>
      <c r="D770" s="94"/>
      <c r="E770" s="142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</row>
    <row r="771" spans="1:26" ht="14.25" customHeight="1" x14ac:dyDescent="0.35">
      <c r="A771" s="94"/>
      <c r="B771" s="127"/>
      <c r="C771" s="94"/>
      <c r="D771" s="94"/>
      <c r="E771" s="142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</row>
    <row r="772" spans="1:26" ht="14.25" customHeight="1" x14ac:dyDescent="0.35">
      <c r="A772" s="94"/>
      <c r="B772" s="127"/>
      <c r="C772" s="94"/>
      <c r="D772" s="94"/>
      <c r="E772" s="142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</row>
    <row r="773" spans="1:26" ht="14.25" customHeight="1" x14ac:dyDescent="0.35">
      <c r="A773" s="94"/>
      <c r="B773" s="127"/>
      <c r="C773" s="94"/>
      <c r="D773" s="94"/>
      <c r="E773" s="142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</row>
    <row r="774" spans="1:26" ht="14.25" customHeight="1" x14ac:dyDescent="0.35">
      <c r="A774" s="94"/>
      <c r="B774" s="127"/>
      <c r="C774" s="94"/>
      <c r="D774" s="94"/>
      <c r="E774" s="142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</row>
    <row r="775" spans="1:26" ht="14.25" customHeight="1" x14ac:dyDescent="0.35">
      <c r="A775" s="94"/>
      <c r="B775" s="127"/>
      <c r="C775" s="94"/>
      <c r="D775" s="94"/>
      <c r="E775" s="142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</row>
    <row r="776" spans="1:26" ht="14.25" customHeight="1" x14ac:dyDescent="0.35">
      <c r="A776" s="94"/>
      <c r="B776" s="127"/>
      <c r="C776" s="94"/>
      <c r="D776" s="94"/>
      <c r="E776" s="142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</row>
    <row r="777" spans="1:26" ht="14.25" customHeight="1" x14ac:dyDescent="0.35">
      <c r="A777" s="94"/>
      <c r="B777" s="127"/>
      <c r="C777" s="94"/>
      <c r="D777" s="94"/>
      <c r="E777" s="142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</row>
    <row r="778" spans="1:26" ht="14.25" customHeight="1" x14ac:dyDescent="0.35">
      <c r="A778" s="94"/>
      <c r="B778" s="127"/>
      <c r="C778" s="94"/>
      <c r="D778" s="94"/>
      <c r="E778" s="142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</row>
    <row r="779" spans="1:26" ht="14.25" customHeight="1" x14ac:dyDescent="0.35">
      <c r="A779" s="94"/>
      <c r="B779" s="127"/>
      <c r="C779" s="94"/>
      <c r="D779" s="94"/>
      <c r="E779" s="142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</row>
    <row r="780" spans="1:26" ht="14.25" customHeight="1" x14ac:dyDescent="0.35">
      <c r="A780" s="94"/>
      <c r="B780" s="127"/>
      <c r="C780" s="94"/>
      <c r="D780" s="94"/>
      <c r="E780" s="142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</row>
    <row r="781" spans="1:26" ht="14.25" customHeight="1" x14ac:dyDescent="0.35">
      <c r="A781" s="94"/>
      <c r="B781" s="127"/>
      <c r="C781" s="94"/>
      <c r="D781" s="94"/>
      <c r="E781" s="142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</row>
    <row r="782" spans="1:26" ht="14.25" customHeight="1" x14ac:dyDescent="0.35">
      <c r="A782" s="94"/>
      <c r="B782" s="127"/>
      <c r="C782" s="94"/>
      <c r="D782" s="94"/>
      <c r="E782" s="142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</row>
    <row r="783" spans="1:26" ht="14.25" customHeight="1" x14ac:dyDescent="0.35">
      <c r="A783" s="94"/>
      <c r="B783" s="127"/>
      <c r="C783" s="94"/>
      <c r="D783" s="94"/>
      <c r="E783" s="142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</row>
    <row r="784" spans="1:26" ht="14.25" customHeight="1" x14ac:dyDescent="0.35">
      <c r="A784" s="94"/>
      <c r="B784" s="127"/>
      <c r="C784" s="94"/>
      <c r="D784" s="94"/>
      <c r="E784" s="142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</row>
    <row r="785" spans="1:26" ht="14.25" customHeight="1" x14ac:dyDescent="0.35">
      <c r="A785" s="94"/>
      <c r="B785" s="127"/>
      <c r="C785" s="94"/>
      <c r="D785" s="94"/>
      <c r="E785" s="142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</row>
    <row r="786" spans="1:26" ht="14.25" customHeight="1" x14ac:dyDescent="0.35">
      <c r="A786" s="94"/>
      <c r="B786" s="127"/>
      <c r="C786" s="94"/>
      <c r="D786" s="94"/>
      <c r="E786" s="142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</row>
    <row r="787" spans="1:26" ht="14.25" customHeight="1" x14ac:dyDescent="0.35">
      <c r="A787" s="94"/>
      <c r="B787" s="127"/>
      <c r="C787" s="94"/>
      <c r="D787" s="94"/>
      <c r="E787" s="142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</row>
    <row r="788" spans="1:26" ht="14.25" customHeight="1" x14ac:dyDescent="0.35">
      <c r="A788" s="94"/>
      <c r="B788" s="127"/>
      <c r="C788" s="94"/>
      <c r="D788" s="94"/>
      <c r="E788" s="142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</row>
    <row r="789" spans="1:26" ht="14.25" customHeight="1" x14ac:dyDescent="0.35">
      <c r="A789" s="94"/>
      <c r="B789" s="127"/>
      <c r="C789" s="94"/>
      <c r="D789" s="94"/>
      <c r="E789" s="142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</row>
    <row r="790" spans="1:26" ht="14.25" customHeight="1" x14ac:dyDescent="0.35">
      <c r="A790" s="94"/>
      <c r="B790" s="127"/>
      <c r="C790" s="94"/>
      <c r="D790" s="94"/>
      <c r="E790" s="142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</row>
    <row r="791" spans="1:26" ht="14.25" customHeight="1" x14ac:dyDescent="0.35">
      <c r="A791" s="94"/>
      <c r="B791" s="127"/>
      <c r="C791" s="94"/>
      <c r="D791" s="94"/>
      <c r="E791" s="142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</row>
    <row r="792" spans="1:26" ht="14.25" customHeight="1" x14ac:dyDescent="0.35">
      <c r="A792" s="94"/>
      <c r="B792" s="127"/>
      <c r="C792" s="94"/>
      <c r="D792" s="94"/>
      <c r="E792" s="142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</row>
    <row r="793" spans="1:26" ht="14.25" customHeight="1" x14ac:dyDescent="0.35">
      <c r="A793" s="94"/>
      <c r="B793" s="127"/>
      <c r="C793" s="94"/>
      <c r="D793" s="94"/>
      <c r="E793" s="142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</row>
    <row r="794" spans="1:26" ht="14.25" customHeight="1" x14ac:dyDescent="0.35">
      <c r="A794" s="94"/>
      <c r="B794" s="127"/>
      <c r="C794" s="94"/>
      <c r="D794" s="94"/>
      <c r="E794" s="142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</row>
    <row r="795" spans="1:26" ht="14.25" customHeight="1" x14ac:dyDescent="0.35">
      <c r="A795" s="94"/>
      <c r="B795" s="127"/>
      <c r="C795" s="94"/>
      <c r="D795" s="94"/>
      <c r="E795" s="142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</row>
    <row r="796" spans="1:26" ht="14.25" customHeight="1" x14ac:dyDescent="0.35">
      <c r="A796" s="94"/>
      <c r="B796" s="127"/>
      <c r="C796" s="94"/>
      <c r="D796" s="94"/>
      <c r="E796" s="142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</row>
    <row r="797" spans="1:26" ht="14.25" customHeight="1" x14ac:dyDescent="0.35">
      <c r="A797" s="94"/>
      <c r="B797" s="127"/>
      <c r="C797" s="94"/>
      <c r="D797" s="94"/>
      <c r="E797" s="142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</row>
    <row r="798" spans="1:26" ht="14.25" customHeight="1" x14ac:dyDescent="0.35">
      <c r="A798" s="94"/>
      <c r="B798" s="127"/>
      <c r="C798" s="94"/>
      <c r="D798" s="94"/>
      <c r="E798" s="142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</row>
    <row r="799" spans="1:26" ht="14.25" customHeight="1" x14ac:dyDescent="0.35">
      <c r="A799" s="94"/>
      <c r="B799" s="127"/>
      <c r="C799" s="94"/>
      <c r="D799" s="94"/>
      <c r="E799" s="142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</row>
    <row r="800" spans="1:26" ht="14.25" customHeight="1" x14ac:dyDescent="0.35">
      <c r="A800" s="94"/>
      <c r="B800" s="127"/>
      <c r="C800" s="94"/>
      <c r="D800" s="94"/>
      <c r="E800" s="142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</row>
    <row r="801" spans="1:26" ht="14.25" customHeight="1" x14ac:dyDescent="0.35">
      <c r="A801" s="94"/>
      <c r="B801" s="127"/>
      <c r="C801" s="94"/>
      <c r="D801" s="94"/>
      <c r="E801" s="142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</row>
    <row r="802" spans="1:26" ht="14.25" customHeight="1" x14ac:dyDescent="0.35">
      <c r="A802" s="94"/>
      <c r="B802" s="127"/>
      <c r="C802" s="94"/>
      <c r="D802" s="94"/>
      <c r="E802" s="142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</row>
    <row r="803" spans="1:26" ht="14.25" customHeight="1" x14ac:dyDescent="0.35">
      <c r="A803" s="94"/>
      <c r="B803" s="127"/>
      <c r="C803" s="94"/>
      <c r="D803" s="94"/>
      <c r="E803" s="142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</row>
    <row r="804" spans="1:26" ht="14.25" customHeight="1" x14ac:dyDescent="0.35">
      <c r="A804" s="94"/>
      <c r="B804" s="127"/>
      <c r="C804" s="94"/>
      <c r="D804" s="94"/>
      <c r="E804" s="142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</row>
    <row r="805" spans="1:26" ht="14.25" customHeight="1" x14ac:dyDescent="0.35">
      <c r="A805" s="94"/>
      <c r="B805" s="127"/>
      <c r="C805" s="94"/>
      <c r="D805" s="94"/>
      <c r="E805" s="142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</row>
    <row r="806" spans="1:26" ht="14.25" customHeight="1" x14ac:dyDescent="0.35">
      <c r="A806" s="94"/>
      <c r="B806" s="127"/>
      <c r="C806" s="94"/>
      <c r="D806" s="94"/>
      <c r="E806" s="142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</row>
    <row r="807" spans="1:26" ht="14.25" customHeight="1" x14ac:dyDescent="0.35">
      <c r="A807" s="94"/>
      <c r="B807" s="127"/>
      <c r="C807" s="94"/>
      <c r="D807" s="94"/>
      <c r="E807" s="142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</row>
    <row r="808" spans="1:26" ht="14.25" customHeight="1" x14ac:dyDescent="0.35">
      <c r="A808" s="94"/>
      <c r="B808" s="127"/>
      <c r="C808" s="94"/>
      <c r="D808" s="94"/>
      <c r="E808" s="142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</row>
    <row r="809" spans="1:26" ht="14.25" customHeight="1" x14ac:dyDescent="0.35">
      <c r="A809" s="94"/>
      <c r="B809" s="127"/>
      <c r="C809" s="94"/>
      <c r="D809" s="94"/>
      <c r="E809" s="142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</row>
    <row r="810" spans="1:26" ht="14.25" customHeight="1" x14ac:dyDescent="0.35">
      <c r="A810" s="94"/>
      <c r="B810" s="127"/>
      <c r="C810" s="94"/>
      <c r="D810" s="94"/>
      <c r="E810" s="142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</row>
    <row r="811" spans="1:26" ht="14.25" customHeight="1" x14ac:dyDescent="0.35">
      <c r="A811" s="94"/>
      <c r="B811" s="127"/>
      <c r="C811" s="94"/>
      <c r="D811" s="94"/>
      <c r="E811" s="142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</row>
    <row r="812" spans="1:26" ht="14.25" customHeight="1" x14ac:dyDescent="0.35">
      <c r="A812" s="94"/>
      <c r="B812" s="127"/>
      <c r="C812" s="94"/>
      <c r="D812" s="94"/>
      <c r="E812" s="142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</row>
    <row r="813" spans="1:26" ht="14.25" customHeight="1" x14ac:dyDescent="0.35">
      <c r="A813" s="94"/>
      <c r="B813" s="127"/>
      <c r="C813" s="94"/>
      <c r="D813" s="94"/>
      <c r="E813" s="142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</row>
    <row r="814" spans="1:26" ht="14.25" customHeight="1" x14ac:dyDescent="0.35">
      <c r="A814" s="94"/>
      <c r="B814" s="127"/>
      <c r="C814" s="94"/>
      <c r="D814" s="94"/>
      <c r="E814" s="142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</row>
    <row r="815" spans="1:26" ht="14.25" customHeight="1" x14ac:dyDescent="0.35">
      <c r="A815" s="94"/>
      <c r="B815" s="127"/>
      <c r="C815" s="94"/>
      <c r="D815" s="94"/>
      <c r="E815" s="142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</row>
    <row r="816" spans="1:26" ht="14.25" customHeight="1" x14ac:dyDescent="0.35">
      <c r="A816" s="94"/>
      <c r="B816" s="127"/>
      <c r="C816" s="94"/>
      <c r="D816" s="94"/>
      <c r="E816" s="142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</row>
    <row r="817" spans="1:26" ht="14.25" customHeight="1" x14ac:dyDescent="0.35">
      <c r="A817" s="94"/>
      <c r="B817" s="127"/>
      <c r="C817" s="94"/>
      <c r="D817" s="94"/>
      <c r="E817" s="142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</row>
    <row r="818" spans="1:26" ht="14.25" customHeight="1" x14ac:dyDescent="0.35">
      <c r="A818" s="94"/>
      <c r="B818" s="127"/>
      <c r="C818" s="94"/>
      <c r="D818" s="94"/>
      <c r="E818" s="142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</row>
    <row r="819" spans="1:26" ht="14.25" customHeight="1" x14ac:dyDescent="0.35">
      <c r="A819" s="94"/>
      <c r="B819" s="127"/>
      <c r="C819" s="94"/>
      <c r="D819" s="94"/>
      <c r="E819" s="142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</row>
    <row r="820" spans="1:26" ht="14.25" customHeight="1" x14ac:dyDescent="0.35">
      <c r="A820" s="94"/>
      <c r="B820" s="127"/>
      <c r="C820" s="94"/>
      <c r="D820" s="94"/>
      <c r="E820" s="142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</row>
    <row r="821" spans="1:26" ht="14.25" customHeight="1" x14ac:dyDescent="0.35">
      <c r="A821" s="94"/>
      <c r="B821" s="127"/>
      <c r="C821" s="94"/>
      <c r="D821" s="94"/>
      <c r="E821" s="142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</row>
    <row r="822" spans="1:26" ht="14.25" customHeight="1" x14ac:dyDescent="0.35">
      <c r="A822" s="94"/>
      <c r="B822" s="127"/>
      <c r="C822" s="94"/>
      <c r="D822" s="94"/>
      <c r="E822" s="142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</row>
    <row r="823" spans="1:26" ht="14.25" customHeight="1" x14ac:dyDescent="0.35">
      <c r="A823" s="94"/>
      <c r="B823" s="127"/>
      <c r="C823" s="94"/>
      <c r="D823" s="94"/>
      <c r="E823" s="142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</row>
    <row r="824" spans="1:26" ht="14.25" customHeight="1" x14ac:dyDescent="0.35">
      <c r="A824" s="94"/>
      <c r="B824" s="127"/>
      <c r="C824" s="94"/>
      <c r="D824" s="94"/>
      <c r="E824" s="142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</row>
    <row r="825" spans="1:26" ht="14.25" customHeight="1" x14ac:dyDescent="0.35">
      <c r="A825" s="94"/>
      <c r="B825" s="127"/>
      <c r="C825" s="94"/>
      <c r="D825" s="94"/>
      <c r="E825" s="142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</row>
    <row r="826" spans="1:26" ht="14.25" customHeight="1" x14ac:dyDescent="0.35">
      <c r="A826" s="94"/>
      <c r="B826" s="127"/>
      <c r="C826" s="94"/>
      <c r="D826" s="94"/>
      <c r="E826" s="142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</row>
    <row r="827" spans="1:26" ht="14.25" customHeight="1" x14ac:dyDescent="0.35">
      <c r="A827" s="94"/>
      <c r="B827" s="127"/>
      <c r="C827" s="94"/>
      <c r="D827" s="94"/>
      <c r="E827" s="142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</row>
    <row r="828" spans="1:26" ht="14.25" customHeight="1" x14ac:dyDescent="0.35">
      <c r="A828" s="94"/>
      <c r="B828" s="127"/>
      <c r="C828" s="94"/>
      <c r="D828" s="94"/>
      <c r="E828" s="142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</row>
    <row r="829" spans="1:26" ht="14.25" customHeight="1" x14ac:dyDescent="0.35">
      <c r="A829" s="94"/>
      <c r="B829" s="127"/>
      <c r="C829" s="94"/>
      <c r="D829" s="94"/>
      <c r="E829" s="142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</row>
    <row r="830" spans="1:26" ht="14.25" customHeight="1" x14ac:dyDescent="0.35">
      <c r="A830" s="94"/>
      <c r="B830" s="127"/>
      <c r="C830" s="94"/>
      <c r="D830" s="94"/>
      <c r="E830" s="142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</row>
    <row r="831" spans="1:26" ht="14.25" customHeight="1" x14ac:dyDescent="0.35">
      <c r="A831" s="94"/>
      <c r="B831" s="127"/>
      <c r="C831" s="94"/>
      <c r="D831" s="94"/>
      <c r="E831" s="142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</row>
    <row r="832" spans="1:26" ht="14.25" customHeight="1" x14ac:dyDescent="0.35">
      <c r="A832" s="94"/>
      <c r="B832" s="127"/>
      <c r="C832" s="94"/>
      <c r="D832" s="94"/>
      <c r="E832" s="142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</row>
    <row r="833" spans="1:26" ht="14.25" customHeight="1" x14ac:dyDescent="0.35">
      <c r="A833" s="94"/>
      <c r="B833" s="127"/>
      <c r="C833" s="94"/>
      <c r="D833" s="94"/>
      <c r="E833" s="142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</row>
    <row r="834" spans="1:26" ht="14.25" customHeight="1" x14ac:dyDescent="0.35">
      <c r="A834" s="94"/>
      <c r="B834" s="127"/>
      <c r="C834" s="94"/>
      <c r="D834" s="94"/>
      <c r="E834" s="142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</row>
    <row r="835" spans="1:26" ht="14.25" customHeight="1" x14ac:dyDescent="0.35">
      <c r="A835" s="94"/>
      <c r="B835" s="127"/>
      <c r="C835" s="94"/>
      <c r="D835" s="94"/>
      <c r="E835" s="142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</row>
    <row r="836" spans="1:26" ht="14.25" customHeight="1" x14ac:dyDescent="0.35">
      <c r="A836" s="94"/>
      <c r="B836" s="127"/>
      <c r="C836" s="94"/>
      <c r="D836" s="94"/>
      <c r="E836" s="142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</row>
    <row r="837" spans="1:26" ht="14.25" customHeight="1" x14ac:dyDescent="0.35">
      <c r="A837" s="94"/>
      <c r="B837" s="127"/>
      <c r="C837" s="94"/>
      <c r="D837" s="94"/>
      <c r="E837" s="142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</row>
    <row r="838" spans="1:26" ht="14.25" customHeight="1" x14ac:dyDescent="0.35">
      <c r="A838" s="94"/>
      <c r="B838" s="127"/>
      <c r="C838" s="94"/>
      <c r="D838" s="94"/>
      <c r="E838" s="142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</row>
    <row r="839" spans="1:26" ht="14.25" customHeight="1" x14ac:dyDescent="0.35">
      <c r="A839" s="94"/>
      <c r="B839" s="127"/>
      <c r="C839" s="94"/>
      <c r="D839" s="94"/>
      <c r="E839" s="142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</row>
    <row r="840" spans="1:26" ht="14.25" customHeight="1" x14ac:dyDescent="0.35">
      <c r="A840" s="94"/>
      <c r="B840" s="127"/>
      <c r="C840" s="94"/>
      <c r="D840" s="94"/>
      <c r="E840" s="142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</row>
    <row r="841" spans="1:26" ht="14.25" customHeight="1" x14ac:dyDescent="0.35">
      <c r="A841" s="94"/>
      <c r="B841" s="127"/>
      <c r="C841" s="94"/>
      <c r="D841" s="94"/>
      <c r="E841" s="142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</row>
    <row r="842" spans="1:26" ht="14.25" customHeight="1" x14ac:dyDescent="0.35">
      <c r="A842" s="94"/>
      <c r="B842" s="127"/>
      <c r="C842" s="94"/>
      <c r="D842" s="94"/>
      <c r="E842" s="142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</row>
    <row r="843" spans="1:26" ht="14.25" customHeight="1" x14ac:dyDescent="0.35">
      <c r="A843" s="94"/>
      <c r="B843" s="127"/>
      <c r="C843" s="94"/>
      <c r="D843" s="94"/>
      <c r="E843" s="142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</row>
    <row r="844" spans="1:26" ht="14.25" customHeight="1" x14ac:dyDescent="0.35">
      <c r="A844" s="94"/>
      <c r="B844" s="127"/>
      <c r="C844" s="94"/>
      <c r="D844" s="94"/>
      <c r="E844" s="142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</row>
    <row r="845" spans="1:26" ht="14.25" customHeight="1" x14ac:dyDescent="0.35">
      <c r="A845" s="94"/>
      <c r="B845" s="127"/>
      <c r="C845" s="94"/>
      <c r="D845" s="94"/>
      <c r="E845" s="142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</row>
    <row r="846" spans="1:26" ht="14.25" customHeight="1" x14ac:dyDescent="0.35">
      <c r="A846" s="94"/>
      <c r="B846" s="127"/>
      <c r="C846" s="94"/>
      <c r="D846" s="94"/>
      <c r="E846" s="142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</row>
    <row r="847" spans="1:26" ht="14.25" customHeight="1" x14ac:dyDescent="0.35">
      <c r="A847" s="94"/>
      <c r="B847" s="127"/>
      <c r="C847" s="94"/>
      <c r="D847" s="94"/>
      <c r="E847" s="142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</row>
    <row r="848" spans="1:26" ht="14.25" customHeight="1" x14ac:dyDescent="0.35">
      <c r="A848" s="94"/>
      <c r="B848" s="127"/>
      <c r="C848" s="94"/>
      <c r="D848" s="94"/>
      <c r="E848" s="142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</row>
    <row r="849" spans="1:26" ht="14.25" customHeight="1" x14ac:dyDescent="0.35">
      <c r="A849" s="94"/>
      <c r="B849" s="127"/>
      <c r="C849" s="94"/>
      <c r="D849" s="94"/>
      <c r="E849" s="142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</row>
    <row r="850" spans="1:26" ht="14.25" customHeight="1" x14ac:dyDescent="0.35">
      <c r="A850" s="94"/>
      <c r="B850" s="127"/>
      <c r="C850" s="94"/>
      <c r="D850" s="94"/>
      <c r="E850" s="142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</row>
    <row r="851" spans="1:26" ht="14.25" customHeight="1" x14ac:dyDescent="0.35">
      <c r="A851" s="94"/>
      <c r="B851" s="127"/>
      <c r="C851" s="94"/>
      <c r="D851" s="94"/>
      <c r="E851" s="142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</row>
    <row r="852" spans="1:26" ht="14.25" customHeight="1" x14ac:dyDescent="0.35">
      <c r="A852" s="94"/>
      <c r="B852" s="127"/>
      <c r="C852" s="94"/>
      <c r="D852" s="94"/>
      <c r="E852" s="142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</row>
    <row r="853" spans="1:26" ht="14.25" customHeight="1" x14ac:dyDescent="0.35">
      <c r="A853" s="94"/>
      <c r="B853" s="127"/>
      <c r="C853" s="94"/>
      <c r="D853" s="94"/>
      <c r="E853" s="142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</row>
    <row r="854" spans="1:26" ht="14.25" customHeight="1" x14ac:dyDescent="0.35">
      <c r="A854" s="94"/>
      <c r="B854" s="127"/>
      <c r="C854" s="94"/>
      <c r="D854" s="94"/>
      <c r="E854" s="142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</row>
    <row r="855" spans="1:26" ht="14.25" customHeight="1" x14ac:dyDescent="0.35">
      <c r="A855" s="94"/>
      <c r="B855" s="127"/>
      <c r="C855" s="94"/>
      <c r="D855" s="94"/>
      <c r="E855" s="142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</row>
    <row r="856" spans="1:26" ht="14.25" customHeight="1" x14ac:dyDescent="0.35">
      <c r="A856" s="94"/>
      <c r="B856" s="127"/>
      <c r="C856" s="94"/>
      <c r="D856" s="94"/>
      <c r="E856" s="142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</row>
    <row r="857" spans="1:26" ht="14.25" customHeight="1" x14ac:dyDescent="0.35">
      <c r="A857" s="94"/>
      <c r="B857" s="127"/>
      <c r="C857" s="94"/>
      <c r="D857" s="94"/>
      <c r="E857" s="142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</row>
    <row r="858" spans="1:26" ht="14.25" customHeight="1" x14ac:dyDescent="0.35">
      <c r="A858" s="94"/>
      <c r="B858" s="127"/>
      <c r="C858" s="94"/>
      <c r="D858" s="94"/>
      <c r="E858" s="142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</row>
    <row r="859" spans="1:26" ht="14.25" customHeight="1" x14ac:dyDescent="0.35">
      <c r="A859" s="94"/>
      <c r="B859" s="127"/>
      <c r="C859" s="94"/>
      <c r="D859" s="94"/>
      <c r="E859" s="142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</row>
    <row r="860" spans="1:26" ht="14.25" customHeight="1" x14ac:dyDescent="0.35">
      <c r="A860" s="94"/>
      <c r="B860" s="127"/>
      <c r="C860" s="94"/>
      <c r="D860" s="94"/>
      <c r="E860" s="142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</row>
    <row r="861" spans="1:26" ht="14.25" customHeight="1" x14ac:dyDescent="0.35">
      <c r="A861" s="94"/>
      <c r="B861" s="127"/>
      <c r="C861" s="94"/>
      <c r="D861" s="94"/>
      <c r="E861" s="142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</row>
    <row r="862" spans="1:26" ht="14.25" customHeight="1" x14ac:dyDescent="0.35">
      <c r="A862" s="94"/>
      <c r="B862" s="127"/>
      <c r="C862" s="94"/>
      <c r="D862" s="94"/>
      <c r="E862" s="142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</row>
    <row r="863" spans="1:26" ht="14.25" customHeight="1" x14ac:dyDescent="0.35">
      <c r="A863" s="94"/>
      <c r="B863" s="127"/>
      <c r="C863" s="94"/>
      <c r="D863" s="94"/>
      <c r="E863" s="142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</row>
    <row r="864" spans="1:26" ht="14.25" customHeight="1" x14ac:dyDescent="0.35">
      <c r="A864" s="94"/>
      <c r="B864" s="127"/>
      <c r="C864" s="94"/>
      <c r="D864" s="94"/>
      <c r="E864" s="142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</row>
    <row r="865" spans="1:26" ht="14.25" customHeight="1" x14ac:dyDescent="0.35">
      <c r="A865" s="94"/>
      <c r="B865" s="127"/>
      <c r="C865" s="94"/>
      <c r="D865" s="94"/>
      <c r="E865" s="142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</row>
    <row r="866" spans="1:26" ht="14.25" customHeight="1" x14ac:dyDescent="0.35">
      <c r="A866" s="94"/>
      <c r="B866" s="127"/>
      <c r="C866" s="94"/>
      <c r="D866" s="94"/>
      <c r="E866" s="142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</row>
    <row r="867" spans="1:26" ht="14.25" customHeight="1" x14ac:dyDescent="0.35">
      <c r="A867" s="94"/>
      <c r="B867" s="127"/>
      <c r="C867" s="94"/>
      <c r="D867" s="94"/>
      <c r="E867" s="142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</row>
    <row r="868" spans="1:26" ht="14.25" customHeight="1" x14ac:dyDescent="0.35">
      <c r="A868" s="94"/>
      <c r="B868" s="127"/>
      <c r="C868" s="94"/>
      <c r="D868" s="94"/>
      <c r="E868" s="142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</row>
    <row r="869" spans="1:26" ht="14.25" customHeight="1" x14ac:dyDescent="0.35">
      <c r="A869" s="94"/>
      <c r="B869" s="127"/>
      <c r="C869" s="94"/>
      <c r="D869" s="94"/>
      <c r="E869" s="142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</row>
    <row r="870" spans="1:26" ht="14.25" customHeight="1" x14ac:dyDescent="0.35">
      <c r="A870" s="94"/>
      <c r="B870" s="127"/>
      <c r="C870" s="94"/>
      <c r="D870" s="94"/>
      <c r="E870" s="142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</row>
    <row r="871" spans="1:26" ht="14.25" customHeight="1" x14ac:dyDescent="0.35">
      <c r="A871" s="94"/>
      <c r="B871" s="127"/>
      <c r="C871" s="94"/>
      <c r="D871" s="94"/>
      <c r="E871" s="142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</row>
    <row r="872" spans="1:26" ht="14.25" customHeight="1" x14ac:dyDescent="0.35">
      <c r="A872" s="94"/>
      <c r="B872" s="127"/>
      <c r="C872" s="94"/>
      <c r="D872" s="94"/>
      <c r="E872" s="142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</row>
    <row r="873" spans="1:26" ht="14.25" customHeight="1" x14ac:dyDescent="0.35">
      <c r="A873" s="94"/>
      <c r="B873" s="127"/>
      <c r="C873" s="94"/>
      <c r="D873" s="94"/>
      <c r="E873" s="142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</row>
    <row r="874" spans="1:26" ht="14.25" customHeight="1" x14ac:dyDescent="0.35">
      <c r="A874" s="94"/>
      <c r="B874" s="127"/>
      <c r="C874" s="94"/>
      <c r="D874" s="94"/>
      <c r="E874" s="142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</row>
    <row r="875" spans="1:26" ht="14.25" customHeight="1" x14ac:dyDescent="0.35">
      <c r="A875" s="94"/>
      <c r="B875" s="127"/>
      <c r="C875" s="94"/>
      <c r="D875" s="94"/>
      <c r="E875" s="142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</row>
    <row r="876" spans="1:26" ht="14.25" customHeight="1" x14ac:dyDescent="0.35">
      <c r="A876" s="94"/>
      <c r="B876" s="127"/>
      <c r="C876" s="94"/>
      <c r="D876" s="94"/>
      <c r="E876" s="142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</row>
    <row r="877" spans="1:26" ht="14.25" customHeight="1" x14ac:dyDescent="0.35">
      <c r="A877" s="94"/>
      <c r="B877" s="127"/>
      <c r="C877" s="94"/>
      <c r="D877" s="94"/>
      <c r="E877" s="142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</row>
    <row r="878" spans="1:26" ht="14.25" customHeight="1" x14ac:dyDescent="0.35">
      <c r="A878" s="94"/>
      <c r="B878" s="127"/>
      <c r="C878" s="94"/>
      <c r="D878" s="94"/>
      <c r="E878" s="142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</row>
    <row r="879" spans="1:26" ht="14.25" customHeight="1" x14ac:dyDescent="0.35">
      <c r="A879" s="94"/>
      <c r="B879" s="127"/>
      <c r="C879" s="94"/>
      <c r="D879" s="94"/>
      <c r="E879" s="142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</row>
    <row r="880" spans="1:26" ht="14.25" customHeight="1" x14ac:dyDescent="0.35">
      <c r="A880" s="94"/>
      <c r="B880" s="127"/>
      <c r="C880" s="94"/>
      <c r="D880" s="94"/>
      <c r="E880" s="142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</row>
    <row r="881" spans="1:26" ht="14.25" customHeight="1" x14ac:dyDescent="0.35">
      <c r="A881" s="94"/>
      <c r="B881" s="127"/>
      <c r="C881" s="94"/>
      <c r="D881" s="94"/>
      <c r="E881" s="142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</row>
    <row r="882" spans="1:26" ht="14.25" customHeight="1" x14ac:dyDescent="0.35">
      <c r="A882" s="94"/>
      <c r="B882" s="127"/>
      <c r="C882" s="94"/>
      <c r="D882" s="94"/>
      <c r="E882" s="142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</row>
    <row r="883" spans="1:26" ht="14.25" customHeight="1" x14ac:dyDescent="0.35">
      <c r="A883" s="94"/>
      <c r="B883" s="127"/>
      <c r="C883" s="94"/>
      <c r="D883" s="94"/>
      <c r="E883" s="142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</row>
    <row r="884" spans="1:26" ht="14.25" customHeight="1" x14ac:dyDescent="0.35">
      <c r="A884" s="94"/>
      <c r="B884" s="127"/>
      <c r="C884" s="94"/>
      <c r="D884" s="94"/>
      <c r="E884" s="142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</row>
    <row r="885" spans="1:26" ht="14.25" customHeight="1" x14ac:dyDescent="0.35">
      <c r="A885" s="94"/>
      <c r="B885" s="127"/>
      <c r="C885" s="94"/>
      <c r="D885" s="94"/>
      <c r="E885" s="142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</row>
    <row r="886" spans="1:26" ht="14.25" customHeight="1" x14ac:dyDescent="0.35">
      <c r="A886" s="94"/>
      <c r="B886" s="127"/>
      <c r="C886" s="94"/>
      <c r="D886" s="94"/>
      <c r="E886" s="142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</row>
    <row r="887" spans="1:26" ht="14.25" customHeight="1" x14ac:dyDescent="0.35">
      <c r="A887" s="94"/>
      <c r="B887" s="127"/>
      <c r="C887" s="94"/>
      <c r="D887" s="94"/>
      <c r="E887" s="142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</row>
    <row r="888" spans="1:26" ht="14.25" customHeight="1" x14ac:dyDescent="0.35">
      <c r="A888" s="94"/>
      <c r="B888" s="127"/>
      <c r="C888" s="94"/>
      <c r="D888" s="94"/>
      <c r="E888" s="142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</row>
    <row r="889" spans="1:26" ht="14.25" customHeight="1" x14ac:dyDescent="0.35">
      <c r="A889" s="94"/>
      <c r="B889" s="127"/>
      <c r="C889" s="94"/>
      <c r="D889" s="94"/>
      <c r="E889" s="142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</row>
    <row r="890" spans="1:26" ht="14.25" customHeight="1" x14ac:dyDescent="0.35">
      <c r="A890" s="94"/>
      <c r="B890" s="127"/>
      <c r="C890" s="94"/>
      <c r="D890" s="94"/>
      <c r="E890" s="142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</row>
    <row r="891" spans="1:26" ht="14.25" customHeight="1" x14ac:dyDescent="0.35">
      <c r="A891" s="94"/>
      <c r="B891" s="127"/>
      <c r="C891" s="94"/>
      <c r="D891" s="94"/>
      <c r="E891" s="142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</row>
    <row r="892" spans="1:26" ht="14.25" customHeight="1" x14ac:dyDescent="0.35">
      <c r="A892" s="94"/>
      <c r="B892" s="127"/>
      <c r="C892" s="94"/>
      <c r="D892" s="94"/>
      <c r="E892" s="142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</row>
    <row r="893" spans="1:26" ht="14.25" customHeight="1" x14ac:dyDescent="0.35">
      <c r="A893" s="94"/>
      <c r="B893" s="127"/>
      <c r="C893" s="94"/>
      <c r="D893" s="94"/>
      <c r="E893" s="142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</row>
    <row r="894" spans="1:26" ht="14.25" customHeight="1" x14ac:dyDescent="0.35">
      <c r="A894" s="94"/>
      <c r="B894" s="127"/>
      <c r="C894" s="94"/>
      <c r="D894" s="94"/>
      <c r="E894" s="142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</row>
    <row r="895" spans="1:26" ht="14.25" customHeight="1" x14ac:dyDescent="0.35">
      <c r="A895" s="94"/>
      <c r="B895" s="127"/>
      <c r="C895" s="94"/>
      <c r="D895" s="94"/>
      <c r="E895" s="142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</row>
    <row r="896" spans="1:26" ht="14.25" customHeight="1" x14ac:dyDescent="0.35">
      <c r="A896" s="94"/>
      <c r="B896" s="127"/>
      <c r="C896" s="94"/>
      <c r="D896" s="94"/>
      <c r="E896" s="142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</row>
    <row r="897" spans="1:26" ht="14.25" customHeight="1" x14ac:dyDescent="0.35">
      <c r="A897" s="94"/>
      <c r="B897" s="127"/>
      <c r="C897" s="94"/>
      <c r="D897" s="94"/>
      <c r="E897" s="142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</row>
    <row r="898" spans="1:26" ht="14.25" customHeight="1" x14ac:dyDescent="0.35">
      <c r="A898" s="94"/>
      <c r="B898" s="127"/>
      <c r="C898" s="94"/>
      <c r="D898" s="94"/>
      <c r="E898" s="142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</row>
    <row r="899" spans="1:26" ht="14.25" customHeight="1" x14ac:dyDescent="0.35">
      <c r="A899" s="94"/>
      <c r="B899" s="127"/>
      <c r="C899" s="94"/>
      <c r="D899" s="94"/>
      <c r="E899" s="142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</row>
    <row r="900" spans="1:26" ht="14.25" customHeight="1" x14ac:dyDescent="0.35">
      <c r="A900" s="94"/>
      <c r="B900" s="127"/>
      <c r="C900" s="94"/>
      <c r="D900" s="94"/>
      <c r="E900" s="142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</row>
    <row r="901" spans="1:26" ht="14.25" customHeight="1" x14ac:dyDescent="0.35">
      <c r="A901" s="94"/>
      <c r="B901" s="127"/>
      <c r="C901" s="94"/>
      <c r="D901" s="94"/>
      <c r="E901" s="142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</row>
    <row r="902" spans="1:26" ht="14.25" customHeight="1" x14ac:dyDescent="0.35">
      <c r="A902" s="94"/>
      <c r="B902" s="127"/>
      <c r="C902" s="94"/>
      <c r="D902" s="94"/>
      <c r="E902" s="142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</row>
    <row r="903" spans="1:26" ht="14.25" customHeight="1" x14ac:dyDescent="0.35">
      <c r="A903" s="94"/>
      <c r="B903" s="127"/>
      <c r="C903" s="94"/>
      <c r="D903" s="94"/>
      <c r="E903" s="142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</row>
    <row r="904" spans="1:26" ht="14.25" customHeight="1" x14ac:dyDescent="0.35">
      <c r="A904" s="94"/>
      <c r="B904" s="127"/>
      <c r="C904" s="94"/>
      <c r="D904" s="94"/>
      <c r="E904" s="142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</row>
    <row r="905" spans="1:26" ht="14.25" customHeight="1" x14ac:dyDescent="0.35">
      <c r="A905" s="94"/>
      <c r="B905" s="127"/>
      <c r="C905" s="94"/>
      <c r="D905" s="94"/>
      <c r="E905" s="142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</row>
    <row r="906" spans="1:26" ht="14.25" customHeight="1" x14ac:dyDescent="0.35">
      <c r="A906" s="94"/>
      <c r="B906" s="127"/>
      <c r="C906" s="94"/>
      <c r="D906" s="94"/>
      <c r="E906" s="142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</row>
    <row r="907" spans="1:26" ht="14.25" customHeight="1" x14ac:dyDescent="0.35">
      <c r="A907" s="94"/>
      <c r="B907" s="127"/>
      <c r="C907" s="94"/>
      <c r="D907" s="94"/>
      <c r="E907" s="142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</row>
    <row r="908" spans="1:26" ht="14.25" customHeight="1" x14ac:dyDescent="0.35">
      <c r="A908" s="94"/>
      <c r="B908" s="127"/>
      <c r="C908" s="94"/>
      <c r="D908" s="94"/>
      <c r="E908" s="142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</row>
    <row r="909" spans="1:26" ht="14.25" customHeight="1" x14ac:dyDescent="0.35">
      <c r="A909" s="94"/>
      <c r="B909" s="127"/>
      <c r="C909" s="94"/>
      <c r="D909" s="94"/>
      <c r="E909" s="142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</row>
    <row r="910" spans="1:26" ht="14.25" customHeight="1" x14ac:dyDescent="0.35">
      <c r="A910" s="94"/>
      <c r="B910" s="127"/>
      <c r="C910" s="94"/>
      <c r="D910" s="94"/>
      <c r="E910" s="142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</row>
    <row r="911" spans="1:26" ht="14.25" customHeight="1" x14ac:dyDescent="0.35">
      <c r="A911" s="94"/>
      <c r="B911" s="127"/>
      <c r="C911" s="94"/>
      <c r="D911" s="94"/>
      <c r="E911" s="142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</row>
    <row r="912" spans="1:26" ht="14.25" customHeight="1" x14ac:dyDescent="0.35">
      <c r="A912" s="94"/>
      <c r="B912" s="127"/>
      <c r="C912" s="94"/>
      <c r="D912" s="94"/>
      <c r="E912" s="142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</row>
    <row r="913" spans="1:26" ht="14.25" customHeight="1" x14ac:dyDescent="0.35">
      <c r="A913" s="94"/>
      <c r="B913" s="127"/>
      <c r="C913" s="94"/>
      <c r="D913" s="94"/>
      <c r="E913" s="142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</row>
    <row r="914" spans="1:26" ht="14.25" customHeight="1" x14ac:dyDescent="0.35">
      <c r="A914" s="94"/>
      <c r="B914" s="127"/>
      <c r="C914" s="94"/>
      <c r="D914" s="94"/>
      <c r="E914" s="142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</row>
    <row r="915" spans="1:26" ht="14.25" customHeight="1" x14ac:dyDescent="0.35">
      <c r="A915" s="94"/>
      <c r="B915" s="127"/>
      <c r="C915" s="94"/>
      <c r="D915" s="94"/>
      <c r="E915" s="142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</row>
    <row r="916" spans="1:26" ht="14.25" customHeight="1" x14ac:dyDescent="0.35">
      <c r="A916" s="94"/>
      <c r="B916" s="127"/>
      <c r="C916" s="94"/>
      <c r="D916" s="94"/>
      <c r="E916" s="142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</row>
    <row r="917" spans="1:26" ht="14.25" customHeight="1" x14ac:dyDescent="0.35">
      <c r="A917" s="94"/>
      <c r="B917" s="127"/>
      <c r="C917" s="94"/>
      <c r="D917" s="94"/>
      <c r="E917" s="142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</row>
    <row r="918" spans="1:26" ht="14.25" customHeight="1" x14ac:dyDescent="0.35">
      <c r="A918" s="94"/>
      <c r="B918" s="127"/>
      <c r="C918" s="94"/>
      <c r="D918" s="94"/>
      <c r="E918" s="142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</row>
    <row r="919" spans="1:26" ht="14.25" customHeight="1" x14ac:dyDescent="0.35">
      <c r="A919" s="94"/>
      <c r="B919" s="127"/>
      <c r="C919" s="94"/>
      <c r="D919" s="94"/>
      <c r="E919" s="142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</row>
    <row r="920" spans="1:26" ht="14.25" customHeight="1" x14ac:dyDescent="0.35">
      <c r="A920" s="94"/>
      <c r="B920" s="127"/>
      <c r="C920" s="94"/>
      <c r="D920" s="94"/>
      <c r="E920" s="142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</row>
    <row r="921" spans="1:26" ht="14.25" customHeight="1" x14ac:dyDescent="0.35">
      <c r="A921" s="94"/>
      <c r="B921" s="127"/>
      <c r="C921" s="94"/>
      <c r="D921" s="94"/>
      <c r="E921" s="142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</row>
    <row r="922" spans="1:26" ht="14.25" customHeight="1" x14ac:dyDescent="0.35">
      <c r="A922" s="94"/>
      <c r="B922" s="127"/>
      <c r="C922" s="94"/>
      <c r="D922" s="94"/>
      <c r="E922" s="142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</row>
    <row r="923" spans="1:26" ht="14.25" customHeight="1" x14ac:dyDescent="0.35">
      <c r="A923" s="94"/>
      <c r="B923" s="127"/>
      <c r="C923" s="94"/>
      <c r="D923" s="94"/>
      <c r="E923" s="142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</row>
    <row r="924" spans="1:26" ht="14.25" customHeight="1" x14ac:dyDescent="0.35">
      <c r="A924" s="94"/>
      <c r="B924" s="127"/>
      <c r="C924" s="94"/>
      <c r="D924" s="94"/>
      <c r="E924" s="142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</row>
    <row r="925" spans="1:26" ht="14.25" customHeight="1" x14ac:dyDescent="0.35">
      <c r="A925" s="94"/>
      <c r="B925" s="127"/>
      <c r="C925" s="94"/>
      <c r="D925" s="94"/>
      <c r="E925" s="142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</row>
    <row r="926" spans="1:26" ht="14.25" customHeight="1" x14ac:dyDescent="0.35">
      <c r="A926" s="94"/>
      <c r="B926" s="127"/>
      <c r="C926" s="94"/>
      <c r="D926" s="94"/>
      <c r="E926" s="142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</row>
    <row r="927" spans="1:26" ht="14.25" customHeight="1" x14ac:dyDescent="0.35">
      <c r="A927" s="94"/>
      <c r="B927" s="127"/>
      <c r="C927" s="94"/>
      <c r="D927" s="94"/>
      <c r="E927" s="142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</row>
    <row r="928" spans="1:26" ht="14.25" customHeight="1" x14ac:dyDescent="0.35">
      <c r="A928" s="94"/>
      <c r="B928" s="127"/>
      <c r="C928" s="94"/>
      <c r="D928" s="94"/>
      <c r="E928" s="142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</row>
    <row r="929" spans="1:26" ht="14.25" customHeight="1" x14ac:dyDescent="0.35">
      <c r="A929" s="94"/>
      <c r="B929" s="127"/>
      <c r="C929" s="94"/>
      <c r="D929" s="94"/>
      <c r="E929" s="142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</row>
    <row r="930" spans="1:26" ht="14.25" customHeight="1" x14ac:dyDescent="0.35">
      <c r="A930" s="94"/>
      <c r="B930" s="127"/>
      <c r="C930" s="94"/>
      <c r="D930" s="94"/>
      <c r="E930" s="142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</row>
    <row r="931" spans="1:26" ht="14.25" customHeight="1" x14ac:dyDescent="0.35">
      <c r="A931" s="94"/>
      <c r="B931" s="127"/>
      <c r="C931" s="94"/>
      <c r="D931" s="94"/>
      <c r="E931" s="142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</row>
    <row r="932" spans="1:26" ht="14.25" customHeight="1" x14ac:dyDescent="0.35">
      <c r="A932" s="94"/>
      <c r="B932" s="127"/>
      <c r="C932" s="94"/>
      <c r="D932" s="94"/>
      <c r="E932" s="142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</row>
    <row r="933" spans="1:26" ht="14.25" customHeight="1" x14ac:dyDescent="0.35">
      <c r="A933" s="94"/>
      <c r="B933" s="127"/>
      <c r="C933" s="94"/>
      <c r="D933" s="94"/>
      <c r="E933" s="142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</row>
    <row r="934" spans="1:26" ht="14.25" customHeight="1" x14ac:dyDescent="0.35">
      <c r="A934" s="94"/>
      <c r="B934" s="127"/>
      <c r="C934" s="94"/>
      <c r="D934" s="94"/>
      <c r="E934" s="142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</row>
    <row r="935" spans="1:26" ht="14.25" customHeight="1" x14ac:dyDescent="0.35">
      <c r="A935" s="94"/>
      <c r="B935" s="127"/>
      <c r="C935" s="94"/>
      <c r="D935" s="94"/>
      <c r="E935" s="142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</row>
    <row r="936" spans="1:26" ht="14.25" customHeight="1" x14ac:dyDescent="0.35">
      <c r="A936" s="94"/>
      <c r="B936" s="127"/>
      <c r="C936" s="94"/>
      <c r="D936" s="94"/>
      <c r="E936" s="142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</row>
    <row r="937" spans="1:26" ht="14.25" customHeight="1" x14ac:dyDescent="0.35">
      <c r="A937" s="94"/>
      <c r="B937" s="127"/>
      <c r="C937" s="94"/>
      <c r="D937" s="94"/>
      <c r="E937" s="142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</row>
    <row r="938" spans="1:26" ht="14.25" customHeight="1" x14ac:dyDescent="0.35">
      <c r="A938" s="94"/>
      <c r="B938" s="127"/>
      <c r="C938" s="94"/>
      <c r="D938" s="94"/>
      <c r="E938" s="142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</row>
    <row r="939" spans="1:26" ht="14.25" customHeight="1" x14ac:dyDescent="0.35">
      <c r="A939" s="94"/>
      <c r="B939" s="127"/>
      <c r="C939" s="94"/>
      <c r="D939" s="94"/>
      <c r="E939" s="142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</row>
    <row r="940" spans="1:26" ht="14.25" customHeight="1" x14ac:dyDescent="0.35">
      <c r="A940" s="94"/>
      <c r="B940" s="127"/>
      <c r="C940" s="94"/>
      <c r="D940" s="94"/>
      <c r="E940" s="142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</row>
    <row r="941" spans="1:26" ht="14.25" customHeight="1" x14ac:dyDescent="0.35">
      <c r="A941" s="94"/>
      <c r="B941" s="127"/>
      <c r="C941" s="94"/>
      <c r="D941" s="94"/>
      <c r="E941" s="142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</row>
    <row r="942" spans="1:26" ht="14.25" customHeight="1" x14ac:dyDescent="0.35">
      <c r="A942" s="94"/>
      <c r="B942" s="127"/>
      <c r="C942" s="94"/>
      <c r="D942" s="94"/>
      <c r="E942" s="142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</row>
    <row r="943" spans="1:26" ht="14.25" customHeight="1" x14ac:dyDescent="0.35">
      <c r="A943" s="94"/>
      <c r="B943" s="127"/>
      <c r="C943" s="94"/>
      <c r="D943" s="94"/>
      <c r="E943" s="142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</row>
    <row r="944" spans="1:26" ht="14.25" customHeight="1" x14ac:dyDescent="0.35">
      <c r="A944" s="94"/>
      <c r="B944" s="127"/>
      <c r="C944" s="94"/>
      <c r="D944" s="94"/>
      <c r="E944" s="142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</row>
    <row r="945" spans="1:26" ht="14.25" customHeight="1" x14ac:dyDescent="0.35">
      <c r="A945" s="94"/>
      <c r="B945" s="127"/>
      <c r="C945" s="94"/>
      <c r="D945" s="94"/>
      <c r="E945" s="142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</row>
    <row r="946" spans="1:26" ht="14.25" customHeight="1" x14ac:dyDescent="0.35">
      <c r="A946" s="94"/>
      <c r="B946" s="127"/>
      <c r="C946" s="94"/>
      <c r="D946" s="94"/>
      <c r="E946" s="142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</row>
    <row r="947" spans="1:26" ht="14.25" customHeight="1" x14ac:dyDescent="0.35">
      <c r="A947" s="94"/>
      <c r="B947" s="127"/>
      <c r="C947" s="94"/>
      <c r="D947" s="94"/>
      <c r="E947" s="142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</row>
    <row r="948" spans="1:26" ht="14.25" customHeight="1" x14ac:dyDescent="0.35">
      <c r="A948" s="94"/>
      <c r="B948" s="127"/>
      <c r="C948" s="94"/>
      <c r="D948" s="94"/>
      <c r="E948" s="142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</row>
    <row r="949" spans="1:26" ht="14.25" customHeight="1" x14ac:dyDescent="0.35">
      <c r="A949" s="94"/>
      <c r="B949" s="127"/>
      <c r="C949" s="94"/>
      <c r="D949" s="94"/>
      <c r="E949" s="142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</row>
    <row r="950" spans="1:26" ht="14.25" customHeight="1" x14ac:dyDescent="0.35">
      <c r="A950" s="94"/>
      <c r="B950" s="127"/>
      <c r="C950" s="94"/>
      <c r="D950" s="94"/>
      <c r="E950" s="142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</row>
    <row r="951" spans="1:26" ht="14.25" customHeight="1" x14ac:dyDescent="0.35">
      <c r="A951" s="94"/>
      <c r="B951" s="127"/>
      <c r="C951" s="94"/>
      <c r="D951" s="94"/>
      <c r="E951" s="142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</row>
    <row r="952" spans="1:26" ht="14.25" customHeight="1" x14ac:dyDescent="0.35">
      <c r="A952" s="94"/>
      <c r="B952" s="127"/>
      <c r="C952" s="94"/>
      <c r="D952" s="94"/>
      <c r="E952" s="142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</row>
    <row r="953" spans="1:26" ht="14.25" customHeight="1" x14ac:dyDescent="0.35">
      <c r="A953" s="94"/>
      <c r="B953" s="127"/>
      <c r="C953" s="94"/>
      <c r="D953" s="94"/>
      <c r="E953" s="142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</row>
    <row r="954" spans="1:26" ht="14.25" customHeight="1" x14ac:dyDescent="0.35">
      <c r="A954" s="94"/>
      <c r="B954" s="127"/>
      <c r="C954" s="94"/>
      <c r="D954" s="94"/>
      <c r="E954" s="142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</row>
    <row r="955" spans="1:26" ht="14.25" customHeight="1" x14ac:dyDescent="0.35">
      <c r="A955" s="94"/>
      <c r="B955" s="127"/>
      <c r="C955" s="94"/>
      <c r="D955" s="94"/>
      <c r="E955" s="142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</row>
    <row r="956" spans="1:26" ht="14.25" customHeight="1" x14ac:dyDescent="0.35">
      <c r="A956" s="94"/>
      <c r="B956" s="127"/>
      <c r="C956" s="94"/>
      <c r="D956" s="94"/>
      <c r="E956" s="142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</row>
    <row r="957" spans="1:26" ht="14.25" customHeight="1" x14ac:dyDescent="0.35">
      <c r="A957" s="94"/>
      <c r="B957" s="127"/>
      <c r="C957" s="94"/>
      <c r="D957" s="94"/>
      <c r="E957" s="142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</row>
    <row r="958" spans="1:26" ht="14.25" customHeight="1" x14ac:dyDescent="0.35">
      <c r="A958" s="94"/>
      <c r="B958" s="127"/>
      <c r="C958" s="94"/>
      <c r="D958" s="94"/>
      <c r="E958" s="142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</row>
    <row r="959" spans="1:26" ht="14.25" customHeight="1" x14ac:dyDescent="0.35">
      <c r="A959" s="94"/>
      <c r="B959" s="127"/>
      <c r="C959" s="94"/>
      <c r="D959" s="94"/>
      <c r="E959" s="142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</row>
    <row r="960" spans="1:26" ht="14.25" customHeight="1" x14ac:dyDescent="0.35">
      <c r="A960" s="94"/>
      <c r="B960" s="127"/>
      <c r="C960" s="94"/>
      <c r="D960" s="94"/>
      <c r="E960" s="142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</row>
    <row r="961" spans="1:26" ht="14.25" customHeight="1" x14ac:dyDescent="0.35">
      <c r="A961" s="94"/>
      <c r="B961" s="127"/>
      <c r="C961" s="94"/>
      <c r="D961" s="94"/>
      <c r="E961" s="142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</row>
    <row r="962" spans="1:26" ht="14.25" customHeight="1" x14ac:dyDescent="0.35">
      <c r="A962" s="94"/>
      <c r="B962" s="127"/>
      <c r="C962" s="94"/>
      <c r="D962" s="94"/>
      <c r="E962" s="142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</row>
    <row r="963" spans="1:26" ht="14.25" customHeight="1" x14ac:dyDescent="0.35">
      <c r="A963" s="94"/>
      <c r="B963" s="127"/>
      <c r="C963" s="94"/>
      <c r="D963" s="94"/>
      <c r="E963" s="142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</row>
    <row r="964" spans="1:26" ht="14.25" customHeight="1" x14ac:dyDescent="0.35">
      <c r="A964" s="94"/>
      <c r="B964" s="127"/>
      <c r="C964" s="94"/>
      <c r="D964" s="94"/>
      <c r="E964" s="142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</row>
    <row r="965" spans="1:26" ht="14.25" customHeight="1" x14ac:dyDescent="0.35">
      <c r="A965" s="94"/>
      <c r="B965" s="127"/>
      <c r="C965" s="94"/>
      <c r="D965" s="94"/>
      <c r="E965" s="142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</row>
    <row r="966" spans="1:26" ht="14.25" customHeight="1" x14ac:dyDescent="0.35">
      <c r="A966" s="94"/>
      <c r="B966" s="127"/>
      <c r="C966" s="94"/>
      <c r="D966" s="94"/>
      <c r="E966" s="142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</row>
    <row r="967" spans="1:26" ht="14.25" customHeight="1" x14ac:dyDescent="0.35">
      <c r="A967" s="94"/>
      <c r="B967" s="127"/>
      <c r="C967" s="94"/>
      <c r="D967" s="94"/>
      <c r="E967" s="142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</row>
    <row r="968" spans="1:26" ht="14.25" customHeight="1" x14ac:dyDescent="0.35">
      <c r="A968" s="94"/>
      <c r="B968" s="127"/>
      <c r="C968" s="94"/>
      <c r="D968" s="94"/>
      <c r="E968" s="142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</row>
    <row r="969" spans="1:26" ht="14.25" customHeight="1" x14ac:dyDescent="0.35">
      <c r="A969" s="94"/>
      <c r="B969" s="127"/>
      <c r="C969" s="94"/>
      <c r="D969" s="94"/>
      <c r="E969" s="142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</row>
    <row r="970" spans="1:26" ht="14.25" customHeight="1" x14ac:dyDescent="0.35">
      <c r="A970" s="94"/>
      <c r="B970" s="127"/>
      <c r="C970" s="94"/>
      <c r="D970" s="94"/>
      <c r="E970" s="142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</row>
    <row r="971" spans="1:26" ht="14.25" customHeight="1" x14ac:dyDescent="0.35">
      <c r="A971" s="94"/>
      <c r="B971" s="127"/>
      <c r="C971" s="94"/>
      <c r="D971" s="94"/>
      <c r="E971" s="142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</row>
    <row r="972" spans="1:26" ht="14.25" customHeight="1" x14ac:dyDescent="0.35">
      <c r="A972" s="94"/>
      <c r="B972" s="127"/>
      <c r="C972" s="94"/>
      <c r="D972" s="94"/>
      <c r="E972" s="142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</row>
    <row r="973" spans="1:26" ht="14.25" customHeight="1" x14ac:dyDescent="0.35">
      <c r="A973" s="94"/>
      <c r="B973" s="127"/>
      <c r="C973" s="94"/>
      <c r="D973" s="94"/>
      <c r="E973" s="142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</row>
    <row r="974" spans="1:26" ht="14.25" customHeight="1" x14ac:dyDescent="0.35">
      <c r="A974" s="94"/>
      <c r="B974" s="127"/>
      <c r="C974" s="94"/>
      <c r="D974" s="94"/>
      <c r="E974" s="142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</row>
    <row r="975" spans="1:26" ht="14.25" customHeight="1" x14ac:dyDescent="0.35">
      <c r="A975" s="94"/>
      <c r="B975" s="127"/>
      <c r="C975" s="94"/>
      <c r="D975" s="94"/>
      <c r="E975" s="142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</row>
    <row r="976" spans="1:26" ht="14.25" customHeight="1" x14ac:dyDescent="0.35">
      <c r="A976" s="94"/>
      <c r="B976" s="127"/>
      <c r="C976" s="94"/>
      <c r="D976" s="94"/>
      <c r="E976" s="142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</row>
    <row r="977" spans="1:26" ht="14.25" customHeight="1" x14ac:dyDescent="0.35">
      <c r="A977" s="94"/>
      <c r="B977" s="127"/>
      <c r="C977" s="94"/>
      <c r="D977" s="94"/>
      <c r="E977" s="142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</row>
    <row r="978" spans="1:26" ht="14.25" customHeight="1" x14ac:dyDescent="0.35">
      <c r="A978" s="94"/>
      <c r="B978" s="127"/>
      <c r="C978" s="94"/>
      <c r="D978" s="94"/>
      <c r="E978" s="142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</row>
    <row r="979" spans="1:26" ht="14.25" customHeight="1" x14ac:dyDescent="0.35">
      <c r="A979" s="94"/>
      <c r="B979" s="127"/>
      <c r="C979" s="94"/>
      <c r="D979" s="94"/>
      <c r="E979" s="142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</row>
    <row r="980" spans="1:26" ht="14.25" customHeight="1" x14ac:dyDescent="0.35">
      <c r="A980" s="94"/>
      <c r="B980" s="127"/>
      <c r="C980" s="94"/>
      <c r="D980" s="94"/>
      <c r="E980" s="142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</row>
    <row r="981" spans="1:26" ht="14.25" customHeight="1" x14ac:dyDescent="0.35">
      <c r="A981" s="94"/>
      <c r="B981" s="127"/>
      <c r="C981" s="94"/>
      <c r="D981" s="94"/>
      <c r="E981" s="142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</row>
    <row r="982" spans="1:26" ht="14.25" customHeight="1" x14ac:dyDescent="0.35">
      <c r="A982" s="94"/>
      <c r="B982" s="127"/>
      <c r="C982" s="94"/>
      <c r="D982" s="94"/>
      <c r="E982" s="142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</row>
    <row r="983" spans="1:26" ht="14.25" customHeight="1" x14ac:dyDescent="0.35">
      <c r="A983" s="94"/>
      <c r="B983" s="127"/>
      <c r="C983" s="94"/>
      <c r="D983" s="94"/>
      <c r="E983" s="142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</row>
    <row r="984" spans="1:26" ht="14.25" customHeight="1" x14ac:dyDescent="0.35">
      <c r="A984" s="94"/>
      <c r="B984" s="127"/>
      <c r="C984" s="94"/>
      <c r="D984" s="94"/>
      <c r="E984" s="142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</row>
    <row r="985" spans="1:26" ht="14.25" customHeight="1" x14ac:dyDescent="0.35">
      <c r="A985" s="94"/>
      <c r="B985" s="127"/>
      <c r="C985" s="94"/>
      <c r="D985" s="94"/>
      <c r="E985" s="142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</row>
    <row r="986" spans="1:26" ht="14.25" customHeight="1" x14ac:dyDescent="0.35">
      <c r="A986" s="94"/>
      <c r="B986" s="127"/>
      <c r="C986" s="94"/>
      <c r="D986" s="94"/>
      <c r="E986" s="142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</row>
    <row r="987" spans="1:26" ht="14.25" customHeight="1" x14ac:dyDescent="0.35">
      <c r="A987" s="94"/>
      <c r="B987" s="127"/>
      <c r="C987" s="94"/>
      <c r="D987" s="94"/>
      <c r="E987" s="142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</row>
    <row r="988" spans="1:26" ht="14.25" customHeight="1" x14ac:dyDescent="0.35">
      <c r="A988" s="94"/>
      <c r="B988" s="127"/>
      <c r="C988" s="94"/>
      <c r="D988" s="94"/>
      <c r="E988" s="142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</row>
    <row r="989" spans="1:26" ht="14.25" customHeight="1" x14ac:dyDescent="0.35">
      <c r="A989" s="94"/>
      <c r="B989" s="127"/>
      <c r="C989" s="94"/>
      <c r="D989" s="94"/>
      <c r="E989" s="142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</row>
    <row r="990" spans="1:26" ht="14.25" customHeight="1" x14ac:dyDescent="0.35">
      <c r="A990" s="94"/>
      <c r="B990" s="127"/>
      <c r="C990" s="94"/>
      <c r="D990" s="94"/>
      <c r="E990" s="142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</row>
    <row r="991" spans="1:26" ht="14.25" customHeight="1" x14ac:dyDescent="0.35">
      <c r="A991" s="94"/>
      <c r="B991" s="127"/>
      <c r="C991" s="94"/>
      <c r="D991" s="94"/>
      <c r="E991" s="142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</row>
    <row r="992" spans="1:26" ht="14.25" customHeight="1" x14ac:dyDescent="0.35">
      <c r="A992" s="94"/>
      <c r="B992" s="127"/>
      <c r="C992" s="94"/>
      <c r="D992" s="94"/>
      <c r="E992" s="142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</row>
    <row r="993" spans="1:26" ht="14.25" customHeight="1" x14ac:dyDescent="0.35">
      <c r="A993" s="94"/>
      <c r="B993" s="127"/>
      <c r="C993" s="94"/>
      <c r="D993" s="94"/>
      <c r="E993" s="142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</row>
    <row r="994" spans="1:26" ht="14.25" customHeight="1" x14ac:dyDescent="0.35">
      <c r="A994" s="94"/>
      <c r="B994" s="127"/>
      <c r="C994" s="94"/>
      <c r="D994" s="94"/>
      <c r="E994" s="142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</row>
    <row r="995" spans="1:26" ht="14.25" customHeight="1" x14ac:dyDescent="0.35">
      <c r="A995" s="94"/>
      <c r="B995" s="127"/>
      <c r="C995" s="94"/>
      <c r="D995" s="94"/>
      <c r="E995" s="142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</row>
    <row r="996" spans="1:26" ht="14.25" customHeight="1" x14ac:dyDescent="0.35">
      <c r="A996" s="94"/>
      <c r="B996" s="127"/>
      <c r="C996" s="94"/>
      <c r="D996" s="94"/>
      <c r="E996" s="142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</row>
    <row r="997" spans="1:26" ht="14.25" customHeight="1" x14ac:dyDescent="0.35">
      <c r="A997" s="94"/>
      <c r="B997" s="127"/>
      <c r="C997" s="94"/>
      <c r="D997" s="94"/>
      <c r="E997" s="142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</row>
  </sheetData>
  <hyperlinks>
    <hyperlink ref="H1" location="'Daftar Tabel'!A1" display="&lt;&lt;&lt; Daftar Tabel" xr:uid="{29ECBA67-5BC9-46CB-9558-37235D09633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TIN</vt:lpstr>
      <vt:lpstr>SIL</vt:lpstr>
      <vt:lpstr>ITP</vt:lpstr>
      <vt:lpstr>TMB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Fatikhaturohmah</dc:creator>
  <cp:lastModifiedBy>Taufik</cp:lastModifiedBy>
  <dcterms:created xsi:type="dcterms:W3CDTF">2025-05-20T07:35:48Z</dcterms:created>
  <dcterms:modified xsi:type="dcterms:W3CDTF">2025-05-23T07:10:51Z</dcterms:modified>
</cp:coreProperties>
</file>